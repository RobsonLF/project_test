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Robson\"/>
    </mc:Choice>
  </mc:AlternateContent>
  <xr:revisionPtr revIDLastSave="0" documentId="13_ncr:1_{BB0B57ED-26BB-4BD8-89C0-5E38BDB5586A}" xr6:coauthVersionLast="47" xr6:coauthVersionMax="47" xr10:uidLastSave="{00000000-0000-0000-0000-000000000000}"/>
  <bookViews>
    <workbookView xWindow="-120" yWindow="-120" windowWidth="29040" windowHeight="15990" tabRatio="821" activeTab="1" xr2:uid="{5FB097DB-F6BC-4E1A-9345-E087A2753C49}"/>
  </bookViews>
  <sheets>
    <sheet name="TaxTool 1" sheetId="13" r:id="rId1"/>
    <sheet name="TaxTool 2" sheetId="14" r:id="rId2"/>
    <sheet name="Dados" sheetId="12" state="hidden" r:id="rId3"/>
  </sheets>
  <definedNames>
    <definedName name="tb_icms">tb_icms_all[Alíquota]</definedName>
    <definedName name="tb_ipi">tb_ipi_all[Alíquota]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4" l="1" a="1"/>
  <c r="G9" i="14" s="1"/>
  <c r="H9" i="14" s="1" a="1"/>
  <c r="H9" i="14" s="1"/>
  <c r="E20" i="13"/>
  <c r="J20" i="13" s="1"/>
  <c r="D17" i="13"/>
  <c r="I17" i="13" s="1"/>
  <c r="D15" i="13"/>
  <c r="I15" i="13" s="1"/>
  <c r="K9" i="14" l="1"/>
  <c r="L9" i="14" s="1"/>
  <c r="M9" i="14" s="1"/>
  <c r="I9" i="14"/>
  <c r="J9" i="14" s="1"/>
  <c r="C20" i="12"/>
  <c r="C19" i="12"/>
  <c r="C18" i="12"/>
  <c r="C17" i="12"/>
  <c r="C16" i="12"/>
  <c r="C5" i="12"/>
  <c r="C9" i="12"/>
  <c r="C10" i="12"/>
  <c r="C11" i="12"/>
  <c r="E30" i="13" s="1"/>
  <c r="C13" i="12"/>
  <c r="C12" i="12"/>
  <c r="J19" i="13" l="1"/>
  <c r="J18" i="13" s="1"/>
  <c r="J16" i="13" s="1"/>
  <c r="J15" i="13" s="1"/>
  <c r="J14" i="13" s="1"/>
  <c r="J17" i="13" s="1"/>
  <c r="E19" i="13"/>
  <c r="E18" i="13" s="1"/>
  <c r="E16" i="13" s="1"/>
  <c r="E17" i="13" l="1"/>
  <c r="E15" i="13"/>
  <c r="E14" i="13" s="1"/>
  <c r="J2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<sst xmlns="http://schemas.openxmlformats.org/spreadsheetml/2006/main" count="72" uniqueCount="47">
  <si>
    <t>IPI</t>
  </si>
  <si>
    <t>Fator</t>
  </si>
  <si>
    <t>Alíquota</t>
  </si>
  <si>
    <t>PIS/COFINS</t>
  </si>
  <si>
    <t>ICMS</t>
  </si>
  <si>
    <t>Ocultar</t>
  </si>
  <si>
    <t>Preço Com PIS/COFINS</t>
  </si>
  <si>
    <t>INDUSTRIALIZAÇÃO</t>
  </si>
  <si>
    <t>IPI %</t>
  </si>
  <si>
    <t>Preço Com PIS/COFINS/ICMS</t>
  </si>
  <si>
    <t>Preço Líquido</t>
  </si>
  <si>
    <t>TAX TOOL</t>
  </si>
  <si>
    <t>Preço Total (NF)  (Todos Impostos)</t>
  </si>
  <si>
    <t>Escolher Alíquota</t>
  </si>
  <si>
    <t>Todos os cálculos são automáticos</t>
  </si>
  <si>
    <t>Observações</t>
  </si>
  <si>
    <t>Entrar com valores (preço líquido sem impostos)</t>
  </si>
  <si>
    <t>Preço Líquido sem Impostos</t>
  </si>
  <si>
    <t>Preço C/ PIS/COFINS</t>
  </si>
  <si>
    <t>Preço C/ PIS/COFINS/ICMS</t>
  </si>
  <si>
    <r>
      <t xml:space="preserve">Entrar com valores nas celulas </t>
    </r>
    <r>
      <rPr>
        <b/>
        <sz val="11"/>
        <color theme="4" tint="-0.499984740745262"/>
        <rFont val="Calibri"/>
        <family val="2"/>
        <scheme val="minor"/>
      </rPr>
      <t>G</t>
    </r>
    <r>
      <rPr>
        <sz val="11"/>
        <color theme="4" tint="-0.499984740745262"/>
        <rFont val="Calibri"/>
        <family val="2"/>
        <scheme val="minor"/>
      </rPr>
      <t>8,</t>
    </r>
    <r>
      <rPr>
        <b/>
        <sz val="11"/>
        <color theme="4" tint="-0.499984740745262"/>
        <rFont val="Calibri"/>
        <family val="2"/>
        <scheme val="minor"/>
      </rPr>
      <t>G9</t>
    </r>
    <r>
      <rPr>
        <sz val="11"/>
        <color theme="4" tint="-0.499984740745262"/>
        <rFont val="Calibri"/>
        <family val="2"/>
        <scheme val="minor"/>
      </rPr>
      <t xml:space="preserve"> e </t>
    </r>
    <r>
      <rPr>
        <b/>
        <sz val="11"/>
        <color theme="4" tint="-0.499984740745262"/>
        <rFont val="Calibri"/>
        <family val="2"/>
        <scheme val="minor"/>
      </rPr>
      <t>G10</t>
    </r>
  </si>
  <si>
    <t>Preço Com Impostos</t>
  </si>
  <si>
    <t>Entrar com valores (preço com pis/cofins e ICMS)</t>
  </si>
  <si>
    <t>Conversor - Preço c/ Impostos x Preço Líquido</t>
  </si>
  <si>
    <t>Preço Líquido = Preços sem impostos</t>
  </si>
  <si>
    <r>
      <t xml:space="preserve">Conversor somente para encontrar o preço líquido Celulas </t>
    </r>
    <r>
      <rPr>
        <b/>
        <sz val="11"/>
        <color theme="4" tint="-0.499984740745262"/>
        <rFont val="Calibri"/>
        <family val="2"/>
        <scheme val="minor"/>
      </rPr>
      <t>E28</t>
    </r>
    <r>
      <rPr>
        <sz val="11"/>
        <color theme="4" tint="-0.499984740745262"/>
        <rFont val="Calibri"/>
        <family val="2"/>
        <scheme val="minor"/>
      </rPr>
      <t xml:space="preserve"> e </t>
    </r>
    <r>
      <rPr>
        <b/>
        <sz val="11"/>
        <color theme="4" tint="-0.499984740745262"/>
        <rFont val="Calibri"/>
        <family val="2"/>
        <scheme val="minor"/>
      </rPr>
      <t>E29</t>
    </r>
  </si>
  <si>
    <t>Preço Total = Preço com todos os impostos PIS/COFINS/ICMS/IPI</t>
  </si>
  <si>
    <t>Industrialização = Mercadoria para ser usada no processo de produção</t>
  </si>
  <si>
    <t>Consumo próprio = Mercadoria para ativo fixo ou imobilizado</t>
  </si>
  <si>
    <t>CONSUMO PRÓPRIO</t>
  </si>
  <si>
    <t>ICMS %</t>
  </si>
  <si>
    <t>A</t>
  </si>
  <si>
    <t>B</t>
  </si>
  <si>
    <t>Preço</t>
  </si>
  <si>
    <t>Tipo</t>
  </si>
  <si>
    <t>Tipo Preço</t>
  </si>
  <si>
    <t>C/ Impostos</t>
  </si>
  <si>
    <t>S/ Impostos</t>
  </si>
  <si>
    <t>tb_pis_cofins</t>
  </si>
  <si>
    <t>tb_icms</t>
  </si>
  <si>
    <t>tb_ipi</t>
  </si>
  <si>
    <t xml:space="preserve">CONSUMO </t>
  </si>
  <si>
    <t>ENTRADA DE DADOS</t>
  </si>
  <si>
    <t>Preço C/ PIS/COFINS/ICMS.</t>
  </si>
  <si>
    <t>Preço C/ PIS/COFINS.</t>
  </si>
  <si>
    <t>Preço C/ PIS/COFINS/ICMS/IPI</t>
  </si>
  <si>
    <t>Preço C/ PIS/COFINS/ICMS/IPI.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</si>
</sst>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0_-;\-* #,##0.000_-;_-* &quot;-&quot;??_-;_-@_-"/>
    <numFmt numFmtId="165" formatCode="0.0"/>
    <numFmt numFmtId="166" formatCode="0.0000"/>
    <numFmt numFmtId="167" formatCode="#,##0.00_ ;\-#,##0.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2" tint="-0.749992370372631"/>
      <name val="Calibri"/>
      <family val="2"/>
      <scheme val="minor"/>
    </font>
    <font>
      <b/>
      <sz val="48"/>
      <color theme="1"/>
      <name val="Azonix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3" fontId="7" fillId="0" borderId="0" xfId="1" applyFont="1" applyFill="1" applyAlignment="1">
      <alignment horizontal="center"/>
    </xf>
    <xf numFmtId="0" fontId="6" fillId="0" borderId="1" xfId="0" applyFont="1" applyBorder="1"/>
    <xf numFmtId="10" fontId="6" fillId="0" borderId="0" xfId="2" applyNumberFormat="1" applyFont="1" applyFill="1" applyAlignment="1">
      <alignment horizontal="center" vertical="center"/>
    </xf>
    <xf numFmtId="43" fontId="9" fillId="0" borderId="1" xfId="1" applyFont="1" applyFill="1" applyBorder="1" applyAlignment="1">
      <alignment horizontal="center" vertical="center"/>
    </xf>
    <xf numFmtId="10" fontId="7" fillId="0" borderId="0" xfId="1" applyNumberFormat="1" applyFont="1" applyFill="1" applyAlignment="1">
      <alignment horizontal="center"/>
    </xf>
    <xf numFmtId="43" fontId="6" fillId="0" borderId="1" xfId="1" applyFont="1" applyFill="1" applyBorder="1"/>
    <xf numFmtId="43" fontId="6" fillId="0" borderId="0" xfId="0" applyNumberFormat="1" applyFont="1" applyAlignment="1">
      <alignment horizontal="center"/>
    </xf>
    <xf numFmtId="9" fontId="6" fillId="0" borderId="0" xfId="2" applyFont="1" applyFill="1" applyAlignment="1">
      <alignment horizontal="center"/>
    </xf>
    <xf numFmtId="43" fontId="6" fillId="0" borderId="1" xfId="0" applyNumberFormat="1" applyFont="1" applyBorder="1"/>
    <xf numFmtId="9" fontId="7" fillId="0" borderId="0" xfId="1" applyNumberFormat="1" applyFont="1" applyFill="1" applyAlignment="1">
      <alignment horizontal="center"/>
    </xf>
    <xf numFmtId="0" fontId="7" fillId="3" borderId="1" xfId="0" applyFont="1" applyFill="1" applyBorder="1"/>
    <xf numFmtId="9" fontId="6" fillId="3" borderId="0" xfId="2" applyFont="1" applyFill="1" applyAlignment="1">
      <alignment horizontal="center"/>
    </xf>
    <xf numFmtId="43" fontId="8" fillId="3" borderId="1" xfId="0" applyNumberFormat="1" applyFont="1" applyFill="1" applyBorder="1"/>
    <xf numFmtId="43" fontId="7" fillId="0" borderId="0" xfId="1" applyFont="1" applyAlignment="1">
      <alignment horizontal="center"/>
    </xf>
    <xf numFmtId="43" fontId="7" fillId="0" borderId="0" xfId="1" applyFon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/>
    </xf>
    <xf numFmtId="43" fontId="5" fillId="0" borderId="0" xfId="1" applyFont="1" applyAlignment="1">
      <alignment horizontal="center"/>
    </xf>
    <xf numFmtId="164" fontId="5" fillId="0" borderId="0" xfId="1" applyNumberFormat="1" applyFont="1" applyBorder="1"/>
    <xf numFmtId="4" fontId="11" fillId="0" borderId="1" xfId="0" applyNumberFormat="1" applyFont="1" applyBorder="1" applyAlignment="1">
      <alignment horizontal="center"/>
    </xf>
    <xf numFmtId="9" fontId="11" fillId="0" borderId="1" xfId="2" applyFont="1" applyFill="1" applyBorder="1" applyAlignment="1">
      <alignment horizontal="center"/>
    </xf>
    <xf numFmtId="10" fontId="11" fillId="0" borderId="1" xfId="2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/>
    <xf numFmtId="4" fontId="11" fillId="0" borderId="1" xfId="0" applyNumberFormat="1" applyFont="1" applyBorder="1" applyAlignment="1">
      <alignment horizontal="center" vertical="center"/>
    </xf>
    <xf numFmtId="9" fontId="11" fillId="0" borderId="1" xfId="2" applyFont="1" applyFill="1" applyBorder="1" applyAlignment="1">
      <alignment horizontal="center" vertical="center"/>
    </xf>
    <xf numFmtId="0" fontId="14" fillId="0" borderId="0" xfId="0" applyFont="1"/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3" fontId="0" fillId="0" borderId="1" xfId="1" applyFont="1" applyFill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10" fontId="16" fillId="0" borderId="3" xfId="2" applyNumberFormat="1" applyFont="1" applyFill="1" applyBorder="1" applyAlignment="1">
      <alignment horizontal="center" vertical="center"/>
    </xf>
    <xf numFmtId="10" fontId="16" fillId="0" borderId="4" xfId="2" applyNumberFormat="1" applyFont="1" applyFill="1" applyBorder="1" applyAlignment="1">
      <alignment horizontal="center" vertical="center"/>
    </xf>
    <xf numFmtId="2" fontId="16" fillId="0" borderId="5" xfId="2" applyNumberFormat="1" applyFont="1" applyFill="1" applyBorder="1" applyAlignment="1">
      <alignment horizontal="center" vertical="center"/>
    </xf>
    <xf numFmtId="2" fontId="16" fillId="0" borderId="6" xfId="2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2" fontId="16" fillId="0" borderId="7" xfId="2" applyNumberFormat="1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167" fontId="16" fillId="0" borderId="16" xfId="0" applyNumberFormat="1" applyFont="1" applyBorder="1" applyAlignment="1">
      <alignment horizontal="center"/>
    </xf>
    <xf numFmtId="167" fontId="16" fillId="0" borderId="6" xfId="0" applyNumberFormat="1" applyFont="1" applyBorder="1" applyAlignment="1">
      <alignment horizontal="center"/>
    </xf>
    <xf numFmtId="167" fontId="16" fillId="0" borderId="7" xfId="1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medium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medium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numFmt numFmtId="14" formatCode="0.00%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top style="thin">
          <color theme="2" tint="-0.499984740745262"/>
        </top>
      </border>
    </dxf>
    <dxf>
      <border diagonalUp="0" diagonalDown="0"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  <bottom style="medium">
          <color theme="2" tint="-0.499984740745262"/>
        </bottom>
      </border>
    </dxf>
    <dxf>
      <border>
        <bottom style="medium">
          <color theme="2" tint="-0.499984740745262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 tint="0.24994659260841701"/>
      </font>
      <fill>
        <patternFill>
          <bgColor theme="3" tint="0.39994506668294322"/>
        </patternFill>
      </fill>
      <border>
        <left style="medium">
          <color theme="0" tint="-0.14996795556505021"/>
        </left>
        <right style="medium">
          <color theme="0" tint="-0.14996795556505021"/>
        </right>
        <top style="medium">
          <color theme="0" tint="-0.14996795556505021"/>
        </top>
        <bottom style="medium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  <bottom style="medium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</dxfs>
  <tableStyles count="1" defaultTableStyle="TableStyleMedium2" defaultPivotStyle="PivotStyleLight16">
    <tableStyle name="TAXTOOL" pivot="0" count="4" xr9:uid="{189F30A2-3E9B-4990-959A-DBA9AAC5A6D7}">
      <tableStyleElement type="wholeTable" dxfId="37"/>
      <tableStyleElement type="headerRow" dxfId="36"/>
      <tableStyleElement type="firstRowStripe" dxfId="35"/>
      <tableStyleElement type="secondRowStripe" dxfId="34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44825</xdr:colOff>
      <xdr:row>0</xdr:row>
      <xdr:rowOff>156881</xdr:rowOff>
    </xdr:from>
    <xdr:to>
      <xdr:col>2</xdr:col>
      <xdr:colOff>1272615</xdr:colOff>
      <xdr:row>4</xdr:row>
      <xdr:rowOff>156882</xdr:rowOff>
    </xdr:to>
    <xdr:pic>
      <xdr:nvPicPr>
        <xdr:cNvPr id="2" name="Grafik 3" descr="cid:image001.png@01D34F2E.0FA02600">
          <a:extLst>
            <a:ext uri="{FF2B5EF4-FFF2-40B4-BE49-F238E27FC236}">
              <a16:creationId xmlns:a16="http://schemas.microsoft.com/office/drawing/2014/main" id="{3D3E5A8F-B9AD-4492-9394-C88BF94EE52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5060" y="156881"/>
          <a:ext cx="1227790" cy="762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44824</xdr:colOff>
      <xdr:row>0</xdr:row>
      <xdr:rowOff>190499</xdr:rowOff>
    </xdr:from>
    <xdr:to>
      <xdr:col>4</xdr:col>
      <xdr:colOff>89646</xdr:colOff>
      <xdr:row>5</xdr:row>
      <xdr:rowOff>10692</xdr:rowOff>
    </xdr:to>
    <xdr:pic>
      <xdr:nvPicPr>
        <xdr:cNvPr id="2" name="Grafik 3" descr="cid:image001.png@01D34F2E.0FA02600">
          <a:extLst>
            <a:ext uri="{FF2B5EF4-FFF2-40B4-BE49-F238E27FC236}">
              <a16:creationId xmlns:a16="http://schemas.microsoft.com/office/drawing/2014/main" id="{6D909533-2D52-410D-932F-5A45F36EA88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5706" y="190499"/>
          <a:ext cx="2039469" cy="1265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C55818-AF25-4FE8-B7DA-2104DB58F5B1}" name="Table9" displayName="Table9" ref="C8:M9" totalsRowShown="0" headerRowDxfId="33" dataDxfId="6" headerRowBorderDxfId="32" tableBorderDxfId="31" totalsRowBorderDxfId="30">
  <tableColumns count="11">
    <tableColumn id="2" xr3:uid="{56585B4D-3F84-4445-8B6C-25D9CB64E415}" name="Preço" dataDxfId="17"/>
    <tableColumn id="1" xr3:uid="{883CD5A5-0424-4E18-9D58-E0B5FF36A573}" name="Tipo" dataDxfId="16"/>
    <tableColumn id="3" xr3:uid="{1C1EE130-E583-48A1-8492-15F025CD6C5C}" name="ICMS %" dataDxfId="15" dataCellStyle="Percent"/>
    <tableColumn id="4" xr3:uid="{AD98DDC6-0B9F-488A-9C2B-8DFFB6BF889F}" name="IPI %" dataDxfId="14" dataCellStyle="Percent"/>
    <tableColumn id="5" xr3:uid="{F9425B5F-B2A3-4CFC-9122-0FB45670AF18}" name="Preço Líquido" dataDxfId="13" dataCellStyle="Percent">
      <calculatedColumnFormula array="1">IF(OR(Table9[[#This Row],[Preço]]="",Table9[[#This Row],[Tipo]]="",Table9[[#This Row],[ICMS %]]="",Table9[[#This Row],[IPI %]]=""),"",IF(Table9[[#This Row],[Tipo]]="S/ Impostos",Table9[[#This Row],[Preço]],ROUND(Table9[[#This Row],[Preço]]*_xlfn.XLOOKUP(Table9[[#This Row],[ICMS %]],tb_icms_all[Alíquota],tb_icms_all[Fator])*tb_pis_cofins[Fator],2)))</calculatedColumnFormula>
    </tableColumn>
    <tableColumn id="6" xr3:uid="{59D7D769-E149-4DAB-AB1B-9311F6231EE2}" name="Preço C/ PIS/COFINS" dataDxfId="12" dataCellStyle="Percent">
      <calculatedColumnFormula array="1">IF(Table9[[#This Row],[Preço Líquido]]="","",IFERROR(ROUND((Table9[[#This Row],[Preço Líquido]]/tb_pis_cofins[Fator])*tb_pis_cofins[Alíquota],2)+Table9[[#This Row],[Preço Líquido]],""))</calculatedColumnFormula>
    </tableColumn>
    <tableColumn id="7" xr3:uid="{1F8722AD-FD67-48D9-996D-F07C1E1D9885}" name="Preço C/ PIS/COFINS/ICMS" dataDxfId="11" dataCellStyle="Percent">
      <calculatedColumnFormula>IF(Table9[[#This Row],[Preço C/ PIS/COFINS]]="","",ROUND(Table9[[#This Row],[Preço C/ PIS/COFINS]]/_xlfn.XLOOKUP(Table9[[#This Row],[ICMS %]],tb_icms_all[Alíquota],tb_icms_all[Fator]),2))</calculatedColumnFormula>
    </tableColumn>
    <tableColumn id="8" xr3:uid="{E5E4B081-4488-4B12-9CA4-5E8C2CBA16F0}" name="Preço C/ PIS/COFINS/ICMS/IPI" dataDxfId="10" dataCellStyle="Percent">
      <calculatedColumnFormula>IF(Table9[[#This Row],[Preço C/ PIS/COFINS/ICMS]]="","",ROUND(SUM(Table9[[#This Row],[Preço C/ PIS/COFINS/ICMS]],Table9[[#This Row],[Preço C/ PIS/COFINS/ICMS]]*(_xlfn.XLOOKUP(Table9[[#This Row],[IPI %]],tb_ipi_all[Alíquota],tb_ipi_all[A]))),2))</calculatedColumnFormula>
    </tableColumn>
    <tableColumn id="9" xr3:uid="{4D185A9E-011A-4457-A6C5-B4BB1F6129C2}" name="Preço C/ PIS/COFINS." dataDxfId="9">
      <calculatedColumnFormula>IF(Table9[[#This Row],[Preço C/ PIS/COFINS]]="","",Table9[[#This Row],[Preço C/ PIS/COFINS]])</calculatedColumnFormula>
    </tableColumn>
    <tableColumn id="10" xr3:uid="{C9918261-A2A3-427D-B43D-FC45411AA728}" name="Preço C/ PIS/COFINS/ICMS." dataDxfId="8">
      <calculatedColumnFormula>IF(Table9[[#This Row],[Preço C/ PIS/COFINS.]]="","",ROUND(Table9[[#This Row],[Preço C/ PIS/COFINS.]]/((_xlfn.XLOOKUP(Table9[[#This Row],[ICMS %]],tb_icms_all[Alíquota],tb_icms_all[Fator])-((_xlfn.XLOOKUP(Table9[[#This Row],[ICMS %]],tb_icms_all[Alíquota],tb_icms_all[B])*(_xlfn.XLOOKUP(Table9[[#This Row],[IPI %]],tb_ipi_all[Alíquota],tb_ipi_all[A])))))),2))</calculatedColumnFormula>
    </tableColumn>
    <tableColumn id="11" xr3:uid="{47A4C4A6-E588-4E48-B561-20D1D231AA9F}" name="Preço C/ PIS/COFINS/ICMS/IPI." dataDxfId="7" dataCellStyle="Comma">
      <calculatedColumnFormula>IF(Table9[[#This Row],[Preço C/ PIS/COFINS/ICMS.]]="","",ROUND(SUM(Table9[[#This Row],[Preço C/ PIS/COFINS/ICMS.]],Table9[[#This Row],[Preço C/ PIS/COFINS/ICMS.]]*Table9[[#This Row],[IPI %]]),2))</calculatedColumnFormula>
    </tableColumn>
  </tableColumns>
  <tableStyleInfo name="TAXTOOL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07CA4-B389-4F6A-8CA5-700D38BC3598}" name="tb_icms_all" displayName="tb_icms_all" ref="B8:E13" totalsRowShown="0" headerRowDxfId="5" dataDxfId="4">
  <tableColumns count="4">
    <tableColumn id="1" xr3:uid="{86D48DCE-80FA-4C14-A50A-B595203D8ECA}" name="Alíquota" dataDxfId="3"/>
    <tableColumn id="2" xr3:uid="{9234F521-CF78-4E61-99DA-6ED0146C776B}" name="Fator" dataDxfId="2">
      <calculatedColumnFormula>1-(D9/100)</calculatedColumnFormula>
    </tableColumn>
    <tableColumn id="3" xr3:uid="{CAA44145-B8B1-4580-9B28-15F234EEF7BF}" name="A" dataDxfId="1"/>
    <tableColumn id="4" xr3:uid="{99A5B0E1-193D-4BB1-8246-3174063BC6D8}" name="B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D2A38D-FE4A-4E7B-B69A-1F0D05961C0D}" name="tb_pis_cofins" displayName="tb_pis_cofins" ref="B4:D5" totalsRowShown="0" headerRowDxfId="29" dataDxfId="28">
  <tableColumns count="3">
    <tableColumn id="1" xr3:uid="{C290578B-41B5-4552-B584-38DF95296574}" name="Alíquota" dataDxfId="27"/>
    <tableColumn id="2" xr3:uid="{05A5DCE6-92D1-4D61-B442-0DAF284C8020}" name="Fator" dataDxfId="26">
      <calculatedColumnFormula>1-(D5/100)</calculatedColumnFormula>
    </tableColumn>
    <tableColumn id="3" xr3:uid="{87530954-FE0A-4856-A4FD-413718B9AC0D}" name="A" dataDxfId="2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1DF595-7B2D-48CD-BAC4-1DBD881D7E31}" name="tb_ipi_all" displayName="tb_ipi_all" ref="B15:D20" totalsRowShown="0" headerRowDxfId="24" dataDxfId="23">
  <tableColumns count="3">
    <tableColumn id="1" xr3:uid="{97780D94-6A50-4598-A728-C87BF7D9695B}" name="Alíquota" dataDxfId="22"/>
    <tableColumn id="2" xr3:uid="{27AC31FE-A031-48E7-B739-C0264396AC80}" name="A" dataDxfId="21">
      <calculatedColumnFormula>D16/100</calculatedColumnFormula>
    </tableColumn>
    <tableColumn id="3" xr3:uid="{ECE4ED08-2846-4531-BA9F-BA2C03E1F8FA}" name="B" dataDxfId="2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DA74D9-D3B3-4E96-B894-1E3A30DE2A71}" name="tb_preco" displayName="tb_preco" ref="B23:B26" totalsRowShown="0" headerRowDxfId="19">
  <tableColumns count="1">
    <tableColumn id="1" xr3:uid="{F41F4553-3AAC-4505-BF0E-CCCBE84FD65E}" name="Tipo Preço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DB7F-8AB7-45B6-91F9-FAFF171FA972}">
  <dimension ref="B2:J40"/>
  <sheetViews>
    <sheetView showGridLines="0" zoomScale="85" zoomScaleNormal="85" workbookViewId="0">
      <selection activeCell="F8" sqref="F8"/>
    </sheetView>
  </sheetViews>
  <sheetFormatPr defaultRowHeight="15" x14ac:dyDescent="0.25"/>
  <cols>
    <col min="3" max="3" width="45.7109375" customWidth="1"/>
    <col min="4" max="4" width="12" style="2" hidden="1" customWidth="1"/>
    <col min="5" max="5" width="15.7109375" customWidth="1"/>
    <col min="6" max="6" width="26.140625" customWidth="1"/>
    <col min="7" max="7" width="15.85546875" style="2" customWidth="1"/>
    <col min="8" max="8" width="45.7109375" style="2" customWidth="1"/>
    <col min="9" max="9" width="21.85546875" style="2" hidden="1" customWidth="1"/>
    <col min="10" max="10" width="15.85546875" customWidth="1"/>
  </cols>
  <sheetData>
    <row r="2" spans="2:10" ht="15" customHeight="1" x14ac:dyDescent="0.25">
      <c r="C2" s="60" t="s">
        <v>11</v>
      </c>
      <c r="D2" s="60"/>
      <c r="E2" s="60"/>
      <c r="F2" s="60"/>
      <c r="G2" s="60"/>
      <c r="H2" s="60"/>
      <c r="I2" s="60"/>
      <c r="J2" s="60"/>
    </row>
    <row r="3" spans="2:10" ht="15" customHeight="1" x14ac:dyDescent="0.25">
      <c r="B3" s="26"/>
      <c r="C3" s="60"/>
      <c r="D3" s="60"/>
      <c r="E3" s="60"/>
      <c r="F3" s="60"/>
      <c r="G3" s="60"/>
      <c r="H3" s="60"/>
      <c r="I3" s="60"/>
      <c r="J3" s="60"/>
    </row>
    <row r="4" spans="2:10" ht="15" customHeight="1" x14ac:dyDescent="0.25">
      <c r="B4" s="26"/>
      <c r="C4" s="60"/>
      <c r="D4" s="60"/>
      <c r="E4" s="60"/>
      <c r="F4" s="60"/>
      <c r="G4" s="60"/>
      <c r="H4" s="60"/>
      <c r="I4" s="60"/>
      <c r="J4" s="60"/>
    </row>
    <row r="5" spans="2:10" ht="15" customHeight="1" x14ac:dyDescent="0.25">
      <c r="B5" s="26"/>
      <c r="C5" s="60"/>
      <c r="D5" s="60"/>
      <c r="E5" s="60"/>
      <c r="F5" s="60"/>
      <c r="G5" s="60"/>
      <c r="H5" s="60"/>
      <c r="I5" s="60"/>
      <c r="J5" s="60"/>
    </row>
    <row r="6" spans="2:10" ht="21.75" customHeight="1" x14ac:dyDescent="0.25">
      <c r="B6" s="25"/>
      <c r="C6" s="25"/>
      <c r="D6" s="25"/>
      <c r="E6" s="25"/>
      <c r="F6" s="25"/>
      <c r="G6" s="25"/>
      <c r="H6" s="25"/>
      <c r="I6" s="25"/>
      <c r="J6" s="25"/>
    </row>
    <row r="8" spans="2:10" ht="19.5" x14ac:dyDescent="0.3">
      <c r="F8" s="27" t="s">
        <v>10</v>
      </c>
      <c r="G8" s="30">
        <v>113.86882129277565</v>
      </c>
      <c r="H8" s="33" t="s">
        <v>16</v>
      </c>
    </row>
    <row r="9" spans="2:10" ht="19.5" x14ac:dyDescent="0.3">
      <c r="F9" s="27" t="s">
        <v>4</v>
      </c>
      <c r="G9" s="31">
        <v>0.12</v>
      </c>
      <c r="H9" s="33" t="s">
        <v>13</v>
      </c>
    </row>
    <row r="10" spans="2:10" ht="19.5" x14ac:dyDescent="0.3">
      <c r="F10" s="27" t="s">
        <v>8</v>
      </c>
      <c r="G10" s="32">
        <v>5.1999999999999998E-2</v>
      </c>
      <c r="H10" s="33" t="s">
        <v>13</v>
      </c>
    </row>
    <row r="13" spans="2:10" ht="19.5" x14ac:dyDescent="0.3">
      <c r="C13" s="61" t="s">
        <v>7</v>
      </c>
      <c r="D13" s="61"/>
      <c r="E13" s="61"/>
      <c r="F13" s="8"/>
      <c r="G13" s="9"/>
      <c r="H13" s="61" t="s">
        <v>29</v>
      </c>
      <c r="I13" s="61"/>
      <c r="J13" s="61"/>
    </row>
    <row r="14" spans="2:10" ht="19.5" x14ac:dyDescent="0.3">
      <c r="C14" s="20" t="s">
        <v>12</v>
      </c>
      <c r="D14" s="21"/>
      <c r="E14" s="22">
        <f>SUM(E15:E16)</f>
        <v>150</v>
      </c>
      <c r="F14" s="8"/>
      <c r="G14" s="9"/>
      <c r="H14" s="20" t="s">
        <v>12</v>
      </c>
      <c r="I14" s="21"/>
      <c r="J14" s="22">
        <f>SUM(J15:J16)</f>
        <v>151.07123237502287</v>
      </c>
    </row>
    <row r="15" spans="2:10" ht="19.5" x14ac:dyDescent="0.3">
      <c r="C15" s="11" t="s">
        <v>0</v>
      </c>
      <c r="D15" s="12">
        <f>$G$10</f>
        <v>5.1999999999999998E-2</v>
      </c>
      <c r="E15" s="13">
        <f>E16*(_xlfn.XLOOKUP(D15,Dados!B:B,Dados!C:C))</f>
        <v>7.414448669201521</v>
      </c>
      <c r="F15" s="8"/>
      <c r="G15" s="9"/>
      <c r="H15" s="11" t="s">
        <v>0</v>
      </c>
      <c r="I15" s="14">
        <f>D15</f>
        <v>5.1999999999999998E-2</v>
      </c>
      <c r="J15" s="15">
        <f>J16*I15</f>
        <v>7.4673993189174803</v>
      </c>
    </row>
    <row r="16" spans="2:10" ht="19.5" x14ac:dyDescent="0.3">
      <c r="C16" s="20" t="s">
        <v>9</v>
      </c>
      <c r="D16" s="21"/>
      <c r="E16" s="22">
        <f>E18/_xlfn.XLOOKUP(D17,Dados!B:B,Dados!C:C)</f>
        <v>142.58555133079847</v>
      </c>
      <c r="F16" s="8"/>
      <c r="G16" s="9"/>
      <c r="H16" s="20" t="s">
        <v>9</v>
      </c>
      <c r="I16" s="21"/>
      <c r="J16" s="22">
        <f>$J$18/(_xlfn.XLOOKUP(I17,Dados!B:B,Dados!C:C)-((_xlfn.XLOOKUP(I17,Dados!B:B,Dados!E:E)*_xlfn.XLOOKUP(I15,Dados!B:B,Dados!C:C))))</f>
        <v>143.6038330561054</v>
      </c>
    </row>
    <row r="17" spans="3:10" ht="19.5" x14ac:dyDescent="0.3">
      <c r="C17" s="11" t="s">
        <v>4</v>
      </c>
      <c r="D17" s="17">
        <f>$G$9</f>
        <v>0.12</v>
      </c>
      <c r="E17" s="18">
        <f>E16*D17</f>
        <v>17.110266159695815</v>
      </c>
      <c r="F17" s="8"/>
      <c r="G17" s="9"/>
      <c r="H17" s="11" t="s">
        <v>4</v>
      </c>
      <c r="I17" s="19">
        <f>D17</f>
        <v>0.12</v>
      </c>
      <c r="J17" s="15">
        <f>J14*I17</f>
        <v>18.128547885002742</v>
      </c>
    </row>
    <row r="18" spans="3:10" ht="19.5" x14ac:dyDescent="0.3">
      <c r="C18" s="20" t="s">
        <v>6</v>
      </c>
      <c r="D18" s="21"/>
      <c r="E18" s="22">
        <f>SUM(E19:E20)</f>
        <v>125.47528517110264</v>
      </c>
      <c r="F18" s="8"/>
      <c r="G18" s="9"/>
      <c r="H18" s="20" t="s">
        <v>6</v>
      </c>
      <c r="I18" s="21"/>
      <c r="J18" s="22">
        <f>SUM(J19:J20)</f>
        <v>125.47528517110264</v>
      </c>
    </row>
    <row r="19" spans="3:10" ht="19.5" x14ac:dyDescent="0.3">
      <c r="C19" s="11" t="s">
        <v>3</v>
      </c>
      <c r="D19" s="16"/>
      <c r="E19" s="18">
        <f>(E20/Dados!$C$5)*Dados!$B$5</f>
        <v>11.606463878326995</v>
      </c>
      <c r="F19" s="8"/>
      <c r="G19" s="9"/>
      <c r="H19" s="11" t="s">
        <v>3</v>
      </c>
      <c r="I19" s="10"/>
      <c r="J19" s="18">
        <f>(J20/Dados!$C$5)*Dados!$B$5</f>
        <v>11.606463878326995</v>
      </c>
    </row>
    <row r="20" spans="3:10" ht="19.5" x14ac:dyDescent="0.3">
      <c r="C20" s="20" t="s">
        <v>17</v>
      </c>
      <c r="D20" s="21"/>
      <c r="E20" s="22">
        <f>$G$8</f>
        <v>113.86882129277565</v>
      </c>
      <c r="F20" s="8"/>
      <c r="G20" s="9"/>
      <c r="H20" s="20" t="s">
        <v>17</v>
      </c>
      <c r="I20" s="21"/>
      <c r="J20" s="22">
        <f>E20</f>
        <v>113.86882129277565</v>
      </c>
    </row>
    <row r="21" spans="3:10" ht="19.5" x14ac:dyDescent="0.3">
      <c r="C21" s="8"/>
      <c r="D21" s="23"/>
      <c r="E21" s="24"/>
      <c r="F21" s="8"/>
      <c r="G21" s="9"/>
      <c r="H21" s="8"/>
      <c r="I21" s="23"/>
      <c r="J21" s="24"/>
    </row>
    <row r="22" spans="3:10" ht="19.5" x14ac:dyDescent="0.3">
      <c r="C22" s="8"/>
      <c r="D22" s="23"/>
      <c r="E22" s="24"/>
      <c r="F22" s="8"/>
      <c r="G22" s="9"/>
      <c r="H22" s="7" t="s">
        <v>1</v>
      </c>
      <c r="I22" s="28"/>
      <c r="J22" s="29">
        <f>J14/E14</f>
        <v>1.0071415491668192</v>
      </c>
    </row>
    <row r="23" spans="3:10" ht="19.5" x14ac:dyDescent="0.3">
      <c r="C23" s="8"/>
      <c r="D23" s="23"/>
      <c r="E23" s="24"/>
      <c r="F23" s="8"/>
      <c r="G23" s="9"/>
      <c r="H23" s="7"/>
      <c r="I23" s="28"/>
      <c r="J23" s="29"/>
    </row>
    <row r="24" spans="3:10" ht="19.5" x14ac:dyDescent="0.3">
      <c r="C24" s="8"/>
      <c r="D24" s="23"/>
      <c r="E24" s="24"/>
      <c r="F24" s="8"/>
      <c r="G24" s="9"/>
      <c r="H24" s="7"/>
      <c r="I24" s="28"/>
      <c r="J24" s="29"/>
    </row>
    <row r="25" spans="3:10" ht="15.75" x14ac:dyDescent="0.25">
      <c r="F25" s="6"/>
    </row>
    <row r="26" spans="3:10" ht="19.5" x14ac:dyDescent="0.3">
      <c r="C26" s="61" t="s">
        <v>23</v>
      </c>
      <c r="D26" s="61"/>
      <c r="E26" s="61"/>
    </row>
    <row r="28" spans="3:10" ht="19.5" x14ac:dyDescent="0.3">
      <c r="C28" s="27" t="s">
        <v>21</v>
      </c>
      <c r="E28" s="35">
        <v>100</v>
      </c>
      <c r="F28" s="33" t="s">
        <v>22</v>
      </c>
    </row>
    <row r="29" spans="3:10" ht="19.5" x14ac:dyDescent="0.3">
      <c r="C29" s="27" t="s">
        <v>4</v>
      </c>
      <c r="E29" s="36">
        <v>0.12</v>
      </c>
      <c r="F29" s="33" t="s">
        <v>13</v>
      </c>
    </row>
    <row r="30" spans="3:10" ht="19.5" x14ac:dyDescent="0.3">
      <c r="C30" s="27" t="s">
        <v>10</v>
      </c>
      <c r="E30" s="43">
        <f>(E28*_xlfn.XLOOKUP(E29,Dados!B9:B13,Dados!C9:C13))*Dados!$C$5</f>
        <v>79.86</v>
      </c>
      <c r="F30" s="33"/>
    </row>
    <row r="31" spans="3:10" ht="15.75" x14ac:dyDescent="0.25">
      <c r="F31" s="6"/>
    </row>
    <row r="33" spans="3:3" x14ac:dyDescent="0.25">
      <c r="C33" s="37" t="s">
        <v>15</v>
      </c>
    </row>
    <row r="34" spans="3:3" x14ac:dyDescent="0.25">
      <c r="C34" s="34" t="s">
        <v>20</v>
      </c>
    </row>
    <row r="35" spans="3:3" x14ac:dyDescent="0.25">
      <c r="C35" s="34" t="s">
        <v>14</v>
      </c>
    </row>
    <row r="36" spans="3:3" x14ac:dyDescent="0.25">
      <c r="C36" s="34" t="s">
        <v>25</v>
      </c>
    </row>
    <row r="37" spans="3:3" x14ac:dyDescent="0.25">
      <c r="C37" s="34" t="s">
        <v>24</v>
      </c>
    </row>
    <row r="38" spans="3:3" x14ac:dyDescent="0.25">
      <c r="C38" s="34" t="s">
        <v>26</v>
      </c>
    </row>
    <row r="39" spans="3:3" x14ac:dyDescent="0.25">
      <c r="C39" s="34" t="s">
        <v>27</v>
      </c>
    </row>
    <row r="40" spans="3:3" x14ac:dyDescent="0.25">
      <c r="C40" s="34" t="s">
        <v>28</v>
      </c>
    </row>
  </sheetData>
  <mergeCells count="4">
    <mergeCell ref="C2:J5"/>
    <mergeCell ref="C13:E13"/>
    <mergeCell ref="H13:J13"/>
    <mergeCell ref="C26:E26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headerFooter>
    <oddHeader>&amp;L&amp;"Calibri"&amp;10&amp;K000000 Sensitivity: Internal&amp;1#_x000D_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7FD766-5FB4-4605-8158-352928E8D17E}">
          <x14:formula1>
            <xm:f>Dados!$B$16:$B$20</xm:f>
          </x14:formula1>
          <xm:sqref>D15 G10</xm:sqref>
        </x14:dataValidation>
        <x14:dataValidation type="list" allowBlank="1" showInputMessage="1" showErrorMessage="1" xr:uid="{1E2CA724-4E55-4FA9-8689-DEA9EA828176}">
          <x14:formula1>
            <xm:f>Dados!$B$9:$B$13</xm:f>
          </x14:formula1>
          <xm:sqref>D17:D18 G9 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A06E-3D67-4A53-8668-34720182EF62}">
  <dimension ref="A2:V15"/>
  <sheetViews>
    <sheetView showGridLines="0" tabSelected="1" zoomScale="85" zoomScaleNormal="85" workbookViewId="0">
      <selection activeCell="K17" sqref="K17"/>
    </sheetView>
  </sheetViews>
  <sheetFormatPr defaultColWidth="0" defaultRowHeight="15" x14ac:dyDescent="0.25"/>
  <cols>
    <col min="1" max="2" width="3.7109375" customWidth="1"/>
    <col min="3" max="5" width="15" customWidth="1"/>
    <col min="6" max="6" width="15" style="2" customWidth="1"/>
    <col min="7" max="8" width="30.42578125" customWidth="1"/>
    <col min="9" max="11" width="30.42578125" style="2" customWidth="1"/>
    <col min="12" max="13" width="30.42578125" customWidth="1"/>
    <col min="14" max="14" width="9.140625" customWidth="1"/>
    <col min="15" max="15" width="15" hidden="1" customWidth="1"/>
    <col min="16" max="16" width="26.7109375" hidden="1" customWidth="1"/>
    <col min="17" max="17" width="13" hidden="1" customWidth="1"/>
    <col min="18" max="18" width="35.85546875" hidden="1" customWidth="1"/>
    <col min="19" max="19" width="13.42578125" hidden="1" customWidth="1"/>
    <col min="20" max="20" width="41.7109375" hidden="1" customWidth="1"/>
    <col min="21" max="22" width="0" hidden="1" customWidth="1"/>
    <col min="23" max="16384" width="9.140625" hidden="1"/>
  </cols>
  <sheetData>
    <row r="2" spans="3:20" ht="24.75" customHeight="1" x14ac:dyDescent="0.25">
      <c r="C2" s="73" t="s">
        <v>11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51"/>
      <c r="O2" s="51"/>
      <c r="P2" s="51"/>
      <c r="Q2" s="51"/>
      <c r="R2" s="51"/>
      <c r="S2" s="51"/>
      <c r="T2" s="51"/>
    </row>
    <row r="3" spans="3:20" ht="24.75" customHeight="1" x14ac:dyDescent="0.25"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51"/>
      <c r="O3" s="51"/>
      <c r="P3" s="51"/>
      <c r="Q3" s="51"/>
      <c r="R3" s="51"/>
      <c r="S3" s="51"/>
      <c r="T3" s="51"/>
    </row>
    <row r="4" spans="3:20" ht="24.75" customHeight="1" x14ac:dyDescent="0.25"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51"/>
      <c r="O4" s="51"/>
      <c r="P4" s="51"/>
      <c r="Q4" s="51"/>
      <c r="R4" s="51"/>
      <c r="S4" s="51"/>
      <c r="T4" s="51"/>
    </row>
    <row r="5" spans="3:20" ht="24.75" customHeight="1" x14ac:dyDescent="0.25"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51"/>
      <c r="O5" s="51"/>
      <c r="P5" s="51"/>
      <c r="Q5" s="51"/>
      <c r="R5" s="51"/>
      <c r="S5" s="51"/>
      <c r="T5" s="51"/>
    </row>
    <row r="6" spans="3:20" ht="15.75" thickBot="1" x14ac:dyDescent="0.3"/>
    <row r="7" spans="3:20" ht="20.25" thickBot="1" x14ac:dyDescent="0.3">
      <c r="C7" s="62" t="s">
        <v>42</v>
      </c>
      <c r="D7" s="63"/>
      <c r="E7" s="63"/>
      <c r="F7" s="64"/>
      <c r="G7" s="65" t="s">
        <v>7</v>
      </c>
      <c r="H7" s="66"/>
      <c r="I7" s="66"/>
      <c r="J7" s="67"/>
      <c r="K7" s="68" t="s">
        <v>41</v>
      </c>
      <c r="L7" s="68"/>
      <c r="M7" s="69"/>
    </row>
    <row r="8" spans="3:20" ht="42.75" thickBot="1" x14ac:dyDescent="0.3">
      <c r="C8" s="57" t="s">
        <v>33</v>
      </c>
      <c r="D8" s="58" t="s">
        <v>34</v>
      </c>
      <c r="E8" s="58" t="s">
        <v>30</v>
      </c>
      <c r="F8" s="59" t="s">
        <v>8</v>
      </c>
      <c r="G8" s="54" t="s">
        <v>10</v>
      </c>
      <c r="H8" s="55" t="s">
        <v>18</v>
      </c>
      <c r="I8" s="55" t="s">
        <v>19</v>
      </c>
      <c r="J8" s="56" t="s">
        <v>45</v>
      </c>
      <c r="K8" s="53" t="s">
        <v>44</v>
      </c>
      <c r="L8" s="50" t="s">
        <v>43</v>
      </c>
      <c r="M8" s="50" t="s">
        <v>46</v>
      </c>
    </row>
    <row r="9" spans="3:20" ht="18.75" x14ac:dyDescent="0.3">
      <c r="C9" s="44"/>
      <c r="D9" s="45"/>
      <c r="E9" s="46"/>
      <c r="F9" s="47"/>
      <c r="G9" s="48" t="str" cm="1">
        <f t="array" ref="G9">IF(OR(Table9[[#This Row],[Preço]]="",Table9[[#This Row],[Tipo]]="",Table9[[#This Row],[ICMS %]]="",Table9[[#This Row],[IPI %]]=""),"",IF(Table9[[#This Row],[Tipo]]="S/ Impostos",Table9[[#This Row],[Preço]],ROUND(Table9[[#This Row],[Preço]]*_xlfn.XLOOKUP(Table9[[#This Row],[ICMS %]],tb_icms_all[Alíquota],tb_icms_all[Fator])*tb_pis_cofins[Fator],2)))</f>
        <v/>
      </c>
      <c r="H9" s="49" t="str" cm="1">
        <f t="array" ref="H9">IF(Table9[[#This Row],[Preço Líquido]]="","",IFERROR(ROUND((Table9[[#This Row],[Preço Líquido]]/tb_pis_cofins[Fator])*tb_pis_cofins[Alíquota],2)+Table9[[#This Row],[Preço Líquido]],""))</f>
        <v/>
      </c>
      <c r="I9" s="49" t="str">
        <f>IF(Table9[[#This Row],[Preço C/ PIS/COFINS]]="","",ROUND(Table9[[#This Row],[Preço C/ PIS/COFINS]]/_xlfn.XLOOKUP(Table9[[#This Row],[ICMS %]],tb_icms_all[Alíquota],tb_icms_all[Fator]),2))</f>
        <v/>
      </c>
      <c r="J9" s="52" t="str">
        <f>IF(Table9[[#This Row],[Preço C/ PIS/COFINS/ICMS]]="","",ROUND(SUM(Table9[[#This Row],[Preço C/ PIS/COFINS/ICMS]],Table9[[#This Row],[Preço C/ PIS/COFINS/ICMS]]*(_xlfn.XLOOKUP(Table9[[#This Row],[IPI %]],tb_ipi_all[Alíquota],tb_ipi_all[A]))),2))</f>
        <v/>
      </c>
      <c r="K9" s="70" t="str">
        <f>IF(Table9[[#This Row],[Preço C/ PIS/COFINS]]="","",Table9[[#This Row],[Preço C/ PIS/COFINS]])</f>
        <v/>
      </c>
      <c r="L9" s="71" t="str">
        <f>IF(Table9[[#This Row],[Preço C/ PIS/COFINS.]]="","",ROUND(Table9[[#This Row],[Preço C/ PIS/COFINS.]]/((_xlfn.XLOOKUP(Table9[[#This Row],[ICMS %]],tb_icms_all[Alíquota],tb_icms_all[Fator])-((_xlfn.XLOOKUP(Table9[[#This Row],[ICMS %]],tb_icms_all[Alíquota],tb_icms_all[B])*(_xlfn.XLOOKUP(Table9[[#This Row],[IPI %]],tb_ipi_all[Alíquota],tb_ipi_all[A])))))),2))</f>
        <v/>
      </c>
      <c r="M9" s="72" t="str">
        <f>IF(Table9[[#This Row],[Preço C/ PIS/COFINS/ICMS.]]="","",ROUND(SUM(Table9[[#This Row],[Preço C/ PIS/COFINS/ICMS.]],Table9[[#This Row],[Preço C/ PIS/COFINS/ICMS.]]*Table9[[#This Row],[IPI %]]),2))</f>
        <v/>
      </c>
    </row>
    <row r="12" spans="3:20" s="2" customFormat="1" x14ac:dyDescent="0.25">
      <c r="C12"/>
      <c r="D12"/>
      <c r="E12"/>
      <c r="G12"/>
      <c r="H12"/>
      <c r="L12"/>
      <c r="M12"/>
    </row>
    <row r="13" spans="3:20" s="2" customFormat="1" x14ac:dyDescent="0.25">
      <c r="C13"/>
      <c r="D13"/>
      <c r="E13"/>
      <c r="G13"/>
      <c r="H13"/>
      <c r="L13"/>
      <c r="M13"/>
    </row>
    <row r="14" spans="3:20" s="2" customFormat="1" x14ac:dyDescent="0.25">
      <c r="C14"/>
      <c r="D14"/>
      <c r="E14"/>
      <c r="G14"/>
      <c r="H14"/>
      <c r="L14"/>
      <c r="M14"/>
    </row>
    <row r="15" spans="3:20" s="2" customFormat="1" x14ac:dyDescent="0.25">
      <c r="C15"/>
      <c r="D15"/>
      <c r="E15"/>
      <c r="G15"/>
      <c r="H15"/>
      <c r="L15"/>
      <c r="M15"/>
    </row>
  </sheetData>
  <mergeCells count="4">
    <mergeCell ref="C7:F7"/>
    <mergeCell ref="G7:J7"/>
    <mergeCell ref="K7:M7"/>
    <mergeCell ref="C2:M5"/>
  </mergeCells>
  <dataValidations count="1">
    <dataValidation type="list" allowBlank="1" showInputMessage="1" showErrorMessage="1" sqref="D9" xr:uid="{5EB92584-18AF-4750-932B-E9BFB7ABEC84}">
      <formula1>INDIRECT("tb_preco")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headerFooter>
    <oddHeader>&amp;L&amp;"Calibri"&amp;10&amp;K000000 Sensitivity: Internal&amp;1#_x000D_</oddHead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2FE11F-5F27-4282-AEC4-08FD32EF5E86}">
          <x14:formula1>
            <xm:f>INDIRECT(Dados!$A$8)</xm:f>
          </x14:formula1>
          <xm:sqref>E9</xm:sqref>
        </x14:dataValidation>
        <x14:dataValidation type="list" allowBlank="1" showInputMessage="1" showErrorMessage="1" xr:uid="{2EED049D-645E-49F6-A293-5D12AAC3B1B0}">
          <x14:formula1>
            <xm:f>INDIRECT(Dados!$A$15)</xm:f>
          </x14:formula1>
          <xm:sqref>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B336-557F-4A93-812E-719E4E2F7FAF}">
  <dimension ref="A1:G26"/>
  <sheetViews>
    <sheetView workbookViewId="0">
      <selection activeCell="E8" sqref="E8"/>
    </sheetView>
  </sheetViews>
  <sheetFormatPr defaultRowHeight="15" x14ac:dyDescent="0.25"/>
  <cols>
    <col min="1" max="1" width="18.42578125" style="2" bestFit="1" customWidth="1"/>
    <col min="2" max="2" width="14.85546875" bestFit="1" customWidth="1"/>
    <col min="4" max="4" width="9.5703125" bestFit="1" customWidth="1"/>
  </cols>
  <sheetData>
    <row r="1" spans="1:7" x14ac:dyDescent="0.25">
      <c r="D1" s="5" t="s">
        <v>5</v>
      </c>
      <c r="E1" s="5" t="s">
        <v>5</v>
      </c>
    </row>
    <row r="2" spans="1:7" x14ac:dyDescent="0.25">
      <c r="D2" s="5"/>
    </row>
    <row r="3" spans="1:7" x14ac:dyDescent="0.25">
      <c r="A3" s="4"/>
      <c r="D3" s="5"/>
    </row>
    <row r="4" spans="1:7" x14ac:dyDescent="0.25">
      <c r="A4" s="1" t="s">
        <v>38</v>
      </c>
      <c r="B4" s="2" t="s">
        <v>2</v>
      </c>
      <c r="C4" s="2" t="s">
        <v>1</v>
      </c>
      <c r="D4" s="38" t="s">
        <v>31</v>
      </c>
      <c r="G4" s="2"/>
    </row>
    <row r="5" spans="1:7" x14ac:dyDescent="0.25">
      <c r="B5" s="41">
        <v>9.2499999999999999E-2</v>
      </c>
      <c r="C5" s="2">
        <f>1-(D5/100)</f>
        <v>0.90749999999999997</v>
      </c>
      <c r="D5" s="38">
        <v>9.25</v>
      </c>
      <c r="G5" s="2"/>
    </row>
    <row r="6" spans="1:7" x14ac:dyDescent="0.25">
      <c r="A6" s="1"/>
      <c r="B6" s="41"/>
      <c r="C6" s="2"/>
      <c r="D6" s="38"/>
    </row>
    <row r="7" spans="1:7" x14ac:dyDescent="0.25">
      <c r="D7" s="5"/>
    </row>
    <row r="8" spans="1:7" x14ac:dyDescent="0.25">
      <c r="A8" s="2" t="s">
        <v>39</v>
      </c>
      <c r="B8" s="2" t="s">
        <v>2</v>
      </c>
      <c r="C8" s="2" t="s">
        <v>1</v>
      </c>
      <c r="D8" s="38" t="s">
        <v>31</v>
      </c>
      <c r="E8" s="2" t="s">
        <v>32</v>
      </c>
    </row>
    <row r="9" spans="1:7" x14ac:dyDescent="0.25">
      <c r="B9" s="39">
        <v>0.04</v>
      </c>
      <c r="C9" s="2">
        <f>1-(D9/100)</f>
        <v>0.96</v>
      </c>
      <c r="D9" s="40">
        <v>4</v>
      </c>
      <c r="E9" s="38">
        <v>0.04</v>
      </c>
    </row>
    <row r="10" spans="1:7" x14ac:dyDescent="0.25">
      <c r="B10" s="39">
        <v>7.0000000000000007E-2</v>
      </c>
      <c r="C10" s="2">
        <f>1-(D10/100)</f>
        <v>0.92999999999999994</v>
      </c>
      <c r="D10" s="38">
        <v>7</v>
      </c>
      <c r="E10" s="38">
        <v>7.0000000000000007E-2</v>
      </c>
    </row>
    <row r="11" spans="1:7" x14ac:dyDescent="0.25">
      <c r="B11" s="39">
        <v>0.12</v>
      </c>
      <c r="C11" s="2">
        <f>1-(D11/100)</f>
        <v>0.88</v>
      </c>
      <c r="D11" s="38">
        <v>12</v>
      </c>
      <c r="E11" s="38">
        <v>0.12</v>
      </c>
    </row>
    <row r="12" spans="1:7" x14ac:dyDescent="0.25">
      <c r="B12" s="39">
        <v>0.18</v>
      </c>
      <c r="C12" s="2">
        <f>1-(D12/100)</f>
        <v>0.82000000000000006</v>
      </c>
      <c r="D12" s="38">
        <v>18</v>
      </c>
      <c r="E12" s="38">
        <v>0.18</v>
      </c>
    </row>
    <row r="13" spans="1:7" x14ac:dyDescent="0.25">
      <c r="B13" s="39">
        <v>0.17</v>
      </c>
      <c r="C13" s="2">
        <f>1-(D13/100)</f>
        <v>0.83</v>
      </c>
      <c r="D13" s="38">
        <v>17</v>
      </c>
      <c r="E13" s="38">
        <v>0.17</v>
      </c>
    </row>
    <row r="14" spans="1:7" x14ac:dyDescent="0.25">
      <c r="D14" s="5"/>
    </row>
    <row r="15" spans="1:7" x14ac:dyDescent="0.25">
      <c r="A15" s="2" t="s">
        <v>40</v>
      </c>
      <c r="B15" s="2" t="s">
        <v>2</v>
      </c>
      <c r="C15" s="2" t="s">
        <v>31</v>
      </c>
      <c r="D15" s="38" t="s">
        <v>32</v>
      </c>
    </row>
    <row r="16" spans="1:7" x14ac:dyDescent="0.25">
      <c r="B16" s="41">
        <v>0</v>
      </c>
      <c r="C16" s="2">
        <f>D16/100</f>
        <v>0</v>
      </c>
      <c r="D16" s="38">
        <v>0</v>
      </c>
    </row>
    <row r="17" spans="1:4" x14ac:dyDescent="0.25">
      <c r="B17" s="41">
        <v>3.2500000000000001E-2</v>
      </c>
      <c r="C17" s="42">
        <f>D17/100</f>
        <v>3.2500000000000001E-2</v>
      </c>
      <c r="D17" s="38">
        <v>3.25</v>
      </c>
    </row>
    <row r="18" spans="1:4" x14ac:dyDescent="0.25">
      <c r="B18" s="41">
        <v>5.1999999999999998E-2</v>
      </c>
      <c r="C18" s="2">
        <f>D18/100</f>
        <v>5.2000000000000005E-2</v>
      </c>
      <c r="D18" s="38">
        <v>5.2</v>
      </c>
    </row>
    <row r="19" spans="1:4" x14ac:dyDescent="0.25">
      <c r="B19" s="41">
        <v>6.5000000000000002E-2</v>
      </c>
      <c r="C19" s="2">
        <f>D19/100</f>
        <v>6.5000000000000002E-2</v>
      </c>
      <c r="D19" s="38">
        <v>6.5</v>
      </c>
    </row>
    <row r="20" spans="1:4" x14ac:dyDescent="0.25">
      <c r="B20" s="41">
        <v>9.7500000000000003E-2</v>
      </c>
      <c r="C20" s="2">
        <f>D20/100</f>
        <v>9.7500000000000003E-2</v>
      </c>
      <c r="D20" s="38">
        <v>9.75</v>
      </c>
    </row>
    <row r="21" spans="1:4" x14ac:dyDescent="0.25">
      <c r="B21" s="3"/>
      <c r="D21" s="5"/>
    </row>
    <row r="22" spans="1:4" x14ac:dyDescent="0.25">
      <c r="B22" s="3"/>
      <c r="D22" s="5"/>
    </row>
    <row r="23" spans="1:4" x14ac:dyDescent="0.25">
      <c r="B23" s="2" t="s">
        <v>35</v>
      </c>
    </row>
    <row r="24" spans="1:4" x14ac:dyDescent="0.25">
      <c r="B24" s="3"/>
    </row>
    <row r="25" spans="1:4" x14ac:dyDescent="0.25">
      <c r="A25" s="2" t="s">
        <v>33</v>
      </c>
      <c r="B25" s="3" t="s">
        <v>36</v>
      </c>
    </row>
    <row r="26" spans="1:4" x14ac:dyDescent="0.25">
      <c r="B26" s="3" t="s">
        <v>37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E6E15A9E645C478A585F8BB4CF6DC6" ma:contentTypeVersion="18" ma:contentTypeDescription="Ein neues Dokument erstellen." ma:contentTypeScope="" ma:versionID="a87bb1d6a7055f34d9d8d4c4a1df1ba4">
  <xsd:schema xmlns:xsd="http://www.w3.org/2001/XMLSchema" xmlns:xs="http://www.w3.org/2001/XMLSchema" xmlns:p="http://schemas.microsoft.com/office/2006/metadata/properties" xmlns:ns2="b1d88b84-e556-4910-9f92-a8cc38ef71d4" xmlns:ns3="d76840f9-f228-42a5-bac5-3736f9192c55" targetNamespace="http://schemas.microsoft.com/office/2006/metadata/properties" ma:root="true" ma:fieldsID="a39e50322df91fdf8d789a89cd65a3da" ns2:_="" ns3:_="">
    <xsd:import namespace="b1d88b84-e556-4910-9f92-a8cc38ef71d4"/>
    <xsd:import namespace="d76840f9-f228-42a5-bac5-3736f9192c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88b84-e556-4910-9f92-a8cc38ef7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c39f2f88-c28d-410f-855d-f0776c0d30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840f9-f228-42a5-bac5-3736f9192c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a7e86a5-46d1-452e-8631-44eeea458073}" ma:internalName="TaxCatchAll" ma:showField="CatchAllData" ma:web="d76840f9-f228-42a5-bac5-3736f9192c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d88b84-e556-4910-9f92-a8cc38ef71d4">
      <Terms xmlns="http://schemas.microsoft.com/office/infopath/2007/PartnerControls"/>
    </lcf76f155ced4ddcb4097134ff3c332f>
    <TaxCatchAll xmlns="d76840f9-f228-42a5-bac5-3736f9192c55" xsi:nil="true"/>
  </documentManagement>
</p:properties>
</file>

<file path=customXml/itemProps1.xml><?xml version="1.0" encoding="utf-8"?>
<ds:datastoreItem xmlns:ds="http://schemas.openxmlformats.org/officeDocument/2006/customXml" ds:itemID="{E196B274-A503-40E6-82B9-39639CC6CB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8C2E4-653C-4295-8CCC-23DAEA4B1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d88b84-e556-4910-9f92-a8cc38ef71d4"/>
    <ds:schemaRef ds:uri="d76840f9-f228-42a5-bac5-3736f9192c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E08C53-9FDD-4408-857F-75B007671804}">
  <ds:schemaRefs>
    <ds:schemaRef ds:uri="http://schemas.microsoft.com/office/2006/metadata/properties"/>
    <ds:schemaRef ds:uri="http://schemas.microsoft.com/office/infopath/2007/PartnerControls"/>
    <ds:schemaRef ds:uri="b1d88b84-e556-4910-9f92-a8cc38ef71d4"/>
    <ds:schemaRef ds:uri="d76840f9-f228-42a5-bac5-3736f9192c55"/>
  </ds:schemaRefs>
</ds:datastoreItem>
</file>

<file path=docMetadata/LabelInfo.xml><?xml version="1.0" encoding="utf-8"?>
<clbl:labelList xmlns:clbl="http://schemas.microsoft.com/office/2020/mipLabelMetadata">
  <clbl:label id="{defe513d-a22c-46c7-9f54-a97dab9b9b9f}" enabled="1" method="Privileged" siteId="{651b43ce-ccb8-4301-b551-b04dd872d4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TaxTool 1</vt:lpstr>
      <vt:lpstr>TaxTool 2</vt:lpstr>
      <vt:lpstr>Dados</vt:lpstr>
      <vt:lpstr>tb_icms</vt:lpstr>
      <vt:lpstr>tb_ipi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Caetano</dc:creator>
  <cp:lastModifiedBy>Robson Luis David Ferreira</cp:lastModifiedBy>
  <dcterms:created xsi:type="dcterms:W3CDTF">2021-09-08T12:48:00Z</dcterms:created>
  <dcterms:modified xsi:type="dcterms:W3CDTF">2024-08-20T17:20:41Z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0x010100C9E6E15A9E645C478A585F8BB4CF6DC6</vt:lpwstr>
  </property>
  <property fmtid="{D5CDD505-2E9C-101B-9397-08002B2CF9AE}" pid="3" name="MediaServiceImageTags">
    <vt:lpwstr/>
  </property>
  <property fmtid="{D5CDD505-2E9C-101B-9397-08002B2CF9AE}" pid="4" name="MSIP_Label_defe513d-a22c-46c7-9f54-a97dab9b9b9f_Enabled">
    <vt:lpwstr>true</vt:lpwstr>
  </property>
  <property fmtid="{D5CDD505-2E9C-101B-9397-08002B2CF9AE}" pid="5" name="MSIP_Label_defe513d-a22c-46c7-9f54-a97dab9b9b9f_SetDate">
    <vt:lpwstr>2024-04-03T14:22:39Z</vt:lpwstr>
  </property>
  <property fmtid="{D5CDD505-2E9C-101B-9397-08002B2CF9AE}" pid="6" name="MSIP_Label_defe513d-a22c-46c7-9f54-a97dab9b9b9f_Method">
    <vt:lpwstr>Privileged</vt:lpwstr>
  </property>
  <property fmtid="{D5CDD505-2E9C-101B-9397-08002B2CF9AE}" pid="7" name="MSIP_Label_defe513d-a22c-46c7-9f54-a97dab9b9b9f_Name">
    <vt:lpwstr>Internal</vt:lpwstr>
  </property>
  <property fmtid="{D5CDD505-2E9C-101B-9397-08002B2CF9AE}" pid="8" name="MSIP_Label_defe513d-a22c-46c7-9f54-a97dab9b9b9f_SiteId">
    <vt:lpwstr>651b43ce-ccb8-4301-b551-b04dd872d401</vt:lpwstr>
  </property>
  <property fmtid="{D5CDD505-2E9C-101B-9397-08002B2CF9AE}" pid="9" name="MSIP_Label_defe513d-a22c-46c7-9f54-a97dab9b9b9f_ActionId">
    <vt:lpwstr>513f6c17-9b1f-453d-9145-9663d2c6d2db</vt:lpwstr>
  </property>
  <property fmtid="{D5CDD505-2E9C-101B-9397-08002B2CF9AE}" pid="10" name="MSIP_Label_defe513d-a22c-46c7-9f54-a97dab9b9b9f_ContentBits">
    <vt:lpwstr>1</vt:lpwstr>
  </property>
</Properties>
</file>