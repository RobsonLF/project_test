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himagnesita-my.sharepoint.com/personal/robson_ferreira_rhimagnesita_com/Documents/Área de Trabalho/"/>
    </mc:Choice>
  </mc:AlternateContent>
  <xr:revisionPtr revIDLastSave="507" documentId="8_{407C40D3-FD0E-4811-AA9E-A1054E3A6DB2}" xr6:coauthVersionLast="47" xr6:coauthVersionMax="47" xr10:uidLastSave="{02575CEC-5A38-4621-963D-B0607B31175C}"/>
  <bookViews>
    <workbookView xWindow="-108" yWindow="-108" windowWidth="23256" windowHeight="12456" activeTab="6" xr2:uid="{9E2F9567-44D7-4F65-A01C-CF462B91CE9F}"/>
  </bookViews>
  <sheets>
    <sheet name="NOV" sheetId="1" r:id="rId1"/>
    <sheet name="DEZ" sheetId="2" r:id="rId2"/>
    <sheet name="Planilha1" sheetId="3" r:id="rId3"/>
    <sheet name="FEV2026" sheetId="4" r:id="rId4"/>
    <sheet name="MAR2026" sheetId="5" r:id="rId5"/>
    <sheet name="ABR2026" sheetId="6" r:id="rId6"/>
    <sheet name="MAI20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7" l="1"/>
  <c r="N23" i="7"/>
  <c r="N25" i="7" s="1"/>
  <c r="B10" i="7" s="1"/>
  <c r="G11" i="7"/>
  <c r="O10" i="7"/>
  <c r="G10" i="7"/>
  <c r="G9" i="7"/>
  <c r="G8" i="7"/>
  <c r="G7" i="7"/>
  <c r="G6" i="7"/>
  <c r="G5" i="7"/>
  <c r="O4" i="7"/>
  <c r="P4" i="7" s="1"/>
  <c r="G4" i="7"/>
  <c r="I6" i="7" s="1"/>
  <c r="G3" i="7"/>
  <c r="N24" i="6"/>
  <c r="N23" i="6"/>
  <c r="N25" i="6" s="1"/>
  <c r="B10" i="6" s="1"/>
  <c r="G11" i="6"/>
  <c r="G10" i="6"/>
  <c r="G9" i="6"/>
  <c r="O10" i="6"/>
  <c r="G8" i="6"/>
  <c r="G7" i="6"/>
  <c r="G6" i="6"/>
  <c r="O7" i="6"/>
  <c r="P7" i="6" s="1"/>
  <c r="G5" i="6"/>
  <c r="G4" i="6"/>
  <c r="G3" i="6"/>
  <c r="O4" i="6"/>
  <c r="P4" i="6" s="1"/>
  <c r="I3" i="6"/>
  <c r="N23" i="5"/>
  <c r="N25" i="5" s="1"/>
  <c r="B12" i="5" s="1"/>
  <c r="O11" i="5" s="1"/>
  <c r="G15" i="5"/>
  <c r="G14" i="5"/>
  <c r="N24" i="5"/>
  <c r="G13" i="5"/>
  <c r="G12" i="5"/>
  <c r="G11" i="5"/>
  <c r="G10" i="5"/>
  <c r="G9" i="5"/>
  <c r="O10" i="5"/>
  <c r="G8" i="5"/>
  <c r="G7" i="5"/>
  <c r="O7" i="5"/>
  <c r="P7" i="5" s="1"/>
  <c r="G6" i="5"/>
  <c r="G5" i="5"/>
  <c r="O4" i="5"/>
  <c r="P4" i="5" s="1"/>
  <c r="G4" i="5"/>
  <c r="G3" i="5"/>
  <c r="J3" i="4"/>
  <c r="I3" i="4"/>
  <c r="G4" i="4"/>
  <c r="G5" i="4"/>
  <c r="G6" i="4"/>
  <c r="G7" i="4"/>
  <c r="G8" i="4"/>
  <c r="G9" i="4"/>
  <c r="G10" i="4"/>
  <c r="G11" i="4"/>
  <c r="G12" i="4"/>
  <c r="G13" i="4"/>
  <c r="G3" i="4"/>
  <c r="N24" i="4"/>
  <c r="N25" i="4" s="1"/>
  <c r="N9" i="4"/>
  <c r="N8" i="4"/>
  <c r="O6" i="4"/>
  <c r="P6" i="4" s="1"/>
  <c r="O4" i="4"/>
  <c r="P4" i="4" s="1"/>
  <c r="J9" i="2"/>
  <c r="J25" i="2"/>
  <c r="I3" i="7" l="1"/>
  <c r="O11" i="7"/>
  <c r="O12" i="7" s="1"/>
  <c r="O7" i="7"/>
  <c r="P7" i="7" s="1"/>
  <c r="I6" i="6"/>
  <c r="O11" i="6"/>
  <c r="O12" i="6" s="1"/>
  <c r="I3" i="5"/>
  <c r="I6" i="5"/>
  <c r="O12" i="5"/>
  <c r="N10" i="4"/>
  <c r="J26" i="2"/>
  <c r="J24" i="2"/>
  <c r="J8" i="2"/>
  <c r="K6" i="2"/>
  <c r="L6" i="2" s="1"/>
  <c r="K4" i="2"/>
  <c r="L4" i="2" s="1"/>
  <c r="I27" i="1"/>
  <c r="O16" i="1"/>
  <c r="I25" i="1"/>
  <c r="J6" i="1"/>
  <c r="J4" i="1"/>
  <c r="K4" i="1" s="1"/>
  <c r="I9" i="1"/>
  <c r="I8" i="1"/>
  <c r="J10" i="2" l="1"/>
  <c r="I10" i="1"/>
  <c r="K6" i="1"/>
</calcChain>
</file>

<file path=xl/sharedStrings.xml><?xml version="1.0" encoding="utf-8"?>
<sst xmlns="http://schemas.openxmlformats.org/spreadsheetml/2006/main" count="4294965603" uniqueCount="39">
  <si>
    <t>Babá</t>
  </si>
  <si>
    <t>DAS Babá</t>
  </si>
  <si>
    <t>Cartão Nu</t>
  </si>
  <si>
    <t>Blink</t>
  </si>
  <si>
    <t>Inetsafe</t>
  </si>
  <si>
    <t>Faculdade</t>
  </si>
  <si>
    <t>Salário</t>
  </si>
  <si>
    <t>emprestimo</t>
  </si>
  <si>
    <t>Data</t>
  </si>
  <si>
    <t>Valor</t>
  </si>
  <si>
    <t>Descrição</t>
  </si>
  <si>
    <t>Saldo</t>
  </si>
  <si>
    <t>Adiantamento</t>
  </si>
  <si>
    <t>S</t>
  </si>
  <si>
    <t>Total Despesas</t>
  </si>
  <si>
    <t>A</t>
  </si>
  <si>
    <t>Prestação Apt</t>
  </si>
  <si>
    <t>Celular</t>
  </si>
  <si>
    <t>Annelisa</t>
  </si>
  <si>
    <t>Despesas Salário</t>
  </si>
  <si>
    <t>Despesas Adiantamento</t>
  </si>
  <si>
    <t>Total Salário</t>
  </si>
  <si>
    <t>Mochila</t>
  </si>
  <si>
    <t>Fruteira</t>
  </si>
  <si>
    <t>Lente</t>
  </si>
  <si>
    <t>Cresci Perdi</t>
  </si>
  <si>
    <t>2/3</t>
  </si>
  <si>
    <t>1/1</t>
  </si>
  <si>
    <t>2/6</t>
  </si>
  <si>
    <t>TV</t>
  </si>
  <si>
    <t>Camisa Social</t>
  </si>
  <si>
    <t>Nubank</t>
  </si>
  <si>
    <t>Parcelas</t>
  </si>
  <si>
    <t>Pendente</t>
  </si>
  <si>
    <t>STATUS</t>
  </si>
  <si>
    <t>Quitado</t>
  </si>
  <si>
    <t>Renner</t>
  </si>
  <si>
    <t>Celular atrasado</t>
  </si>
  <si>
    <t>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</si>
</sst>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"/>
    <numFmt numFmtId="166" formatCode="##&quot; / &quot;##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Biome Light"/>
      <family val="2"/>
    </font>
    <font>
      <b/>
      <sz val="12"/>
      <color theme="1"/>
      <name val="Biome Light"/>
      <family val="2"/>
    </font>
    <font>
      <b/>
      <sz val="12"/>
      <color theme="9"/>
      <name val="Biome Light"/>
      <family val="2"/>
    </font>
    <font>
      <b/>
      <sz val="12"/>
      <color rgb="FFFFC000"/>
      <name val="Biome Light"/>
      <family val="2"/>
    </font>
    <font>
      <sz val="12"/>
      <color theme="1"/>
      <name val="Biome Light"/>
      <family val="2"/>
    </font>
    <font>
      <b/>
      <sz val="12"/>
      <color theme="3" tint="0.499984740745262"/>
      <name val="Biome Light"/>
      <family val="2"/>
    </font>
    <font>
      <sz val="16"/>
      <color theme="1"/>
      <name val="Biome Light"/>
      <family val="2"/>
    </font>
    <font>
      <b/>
      <sz val="16"/>
      <color rgb="FFFF0000"/>
      <name val="Biome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3" tint="0.749961851863155"/>
      </bottom>
      <diagonal/>
    </border>
    <border>
      <left/>
      <right style="medium">
        <color theme="3" tint="0.749961851863155"/>
      </right>
      <top/>
      <bottom style="medium">
        <color theme="3" tint="0.749961851863155"/>
      </bottom>
      <diagonal/>
    </border>
    <border>
      <left style="medium">
        <color theme="3" tint="0.749961851863155"/>
      </left>
      <right style="medium">
        <color theme="3" tint="0.749961851863155"/>
      </right>
      <top/>
      <bottom style="medium">
        <color theme="3" tint="0.749961851863155"/>
      </bottom>
      <diagonal/>
    </border>
    <border>
      <left style="medium">
        <color theme="3" tint="0.749961851863155"/>
      </left>
      <right/>
      <top/>
      <bottom style="medium">
        <color theme="3" tint="0.749961851863155"/>
      </bottom>
      <diagonal/>
    </border>
    <border>
      <left/>
      <right/>
      <top style="medium">
        <color theme="3" tint="0.749961851863155"/>
      </top>
      <bottom style="medium">
        <color theme="3" tint="0.749961851863155"/>
      </bottom>
      <diagonal/>
    </border>
    <border>
      <left/>
      <right/>
      <top style="medium">
        <color theme="3" tint="0.749961851863155"/>
      </top>
      <bottom/>
      <diagonal/>
    </border>
    <border>
      <left/>
      <right/>
      <top style="medium">
        <color theme="1" tint="0.34998626667073579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44" fontId="0" fillId="0" borderId="0" xfId="1" applyFont="1"/>
    <xf numFmtId="0" fontId="0" fillId="0" borderId="0" xfId="0" quotePrefix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166" fontId="0" fillId="0" borderId="0" xfId="0" quotePrefix="1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164" fontId="5" fillId="0" borderId="6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64" fontId="5" fillId="0" borderId="0" xfId="0" applyNumberFormat="1" applyFont="1"/>
    <xf numFmtId="164" fontId="6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64" fontId="7" fillId="0" borderId="0" xfId="0" applyNumberFormat="1" applyFont="1"/>
    <xf numFmtId="164" fontId="6" fillId="0" borderId="6" xfId="0" applyNumberFormat="1" applyFont="1" applyBorder="1"/>
    <xf numFmtId="164" fontId="5" fillId="0" borderId="1" xfId="0" applyNumberFormat="1" applyFont="1" applyBorder="1"/>
    <xf numFmtId="0" fontId="4" fillId="0" borderId="5" xfId="0" applyFont="1" applyBorder="1"/>
    <xf numFmtId="164" fontId="6" fillId="0" borderId="5" xfId="0" applyNumberFormat="1" applyFont="1" applyBorder="1"/>
    <xf numFmtId="164" fontId="8" fillId="0" borderId="5" xfId="0" applyNumberFormat="1" applyFont="1" applyBorder="1"/>
    <xf numFmtId="0" fontId="9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0" quotePrefix="1" applyFont="1" applyAlignment="1">
      <alignment horizontal="center"/>
    </xf>
    <xf numFmtId="0" fontId="3" fillId="0" borderId="7" xfId="0" applyFont="1" applyBorder="1"/>
    <xf numFmtId="164" fontId="10" fillId="0" borderId="7" xfId="0" applyNumberFormat="1" applyFont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60"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554F8-F5B8-4C37-9E0C-0F725A0F25E0}" name="Tabela1" displayName="Tabela1" ref="A2:E13" totalsRowShown="0" dataDxfId="59">
  <autoFilter ref="A2:E13" xr:uid="{C3F554F8-F5B8-4C37-9E0C-0F725A0F25E0}"/>
  <tableColumns count="5">
    <tableColumn id="1" xr3:uid="{144528EC-EFA9-4348-ABC6-622C84D77EA1}" name="Data" dataDxfId="58"/>
    <tableColumn id="2" xr3:uid="{C51BA50C-A6BF-4CEB-8F1A-286F67166747}" name="Valor" dataDxfId="57"/>
    <tableColumn id="3" xr3:uid="{36BBD75E-F3A5-4899-8F9A-B2211F66C686}" name="Descrição" dataDxfId="56"/>
    <tableColumn id="5" xr3:uid="{FE4B8AFC-9B42-43A5-BB56-65A998931233}" name="Salário" dataDxfId="55"/>
    <tableColumn id="6" xr3:uid="{BE098674-B05E-459B-8B86-2B4D1866FB85}" name="Adiantamento" dataDxfId="5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37C14-22D4-4AC8-AC7D-D7439440C7AD}" name="Tabela13" displayName="Tabela13" ref="A2:F14" totalsRowShown="0" dataDxfId="53">
  <autoFilter ref="A2:F14" xr:uid="{C3F554F8-F5B8-4C37-9E0C-0F725A0F25E0}"/>
  <tableColumns count="6">
    <tableColumn id="1" xr3:uid="{7F9DDC60-555E-4796-B2FF-92ED8ED3C736}" name="Data" dataDxfId="52"/>
    <tableColumn id="2" xr3:uid="{D1CE8791-8CF8-4631-B936-39F9FF863306}" name="Valor" dataDxfId="51"/>
    <tableColumn id="3" xr3:uid="{6DAF65C0-232C-4D40-8447-52EA21E24F03}" name="Descrição" dataDxfId="50"/>
    <tableColumn id="4" xr3:uid="{6A510EF5-05EF-4C6E-8778-B99E22C19521}" name="Parcelas" dataDxfId="49"/>
    <tableColumn id="5" xr3:uid="{6B004105-9739-4478-A88F-11513494F4D6}" name="Salário" dataDxfId="48"/>
    <tableColumn id="6" xr3:uid="{51E06988-B771-4D20-A695-C4231D7EB80C}" name="Adiantamento" dataDxfId="4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984E2-A453-47D7-A4B6-FD3D515A9938}" name="Tabela134" displayName="Tabela134" ref="A2:G13" totalsRowShown="0" dataDxfId="46">
  <autoFilter ref="A2:G13" xr:uid="{C3F554F8-F5B8-4C37-9E0C-0F725A0F25E0}"/>
  <tableColumns count="7">
    <tableColumn id="1" xr3:uid="{121F2883-7D8E-4955-B5A8-2E71BFF46C5D}" name="Data" dataDxfId="45"/>
    <tableColumn id="2" xr3:uid="{D102214D-5F1C-43B2-B136-B9F531EFBD48}" name="Valor" dataDxfId="44"/>
    <tableColumn id="3" xr3:uid="{E386F14E-9738-4961-B643-76EF82F0F5C8}" name="Descrição" dataDxfId="43"/>
    <tableColumn id="4" xr3:uid="{E6DBCED7-529C-4962-9776-4CB4BA03C28D}" name="Parcelas" dataDxfId="42"/>
    <tableColumn id="5" xr3:uid="{F67978F2-BEFB-4D53-83E8-D256A1A3A244}" name="Salário" dataDxfId="41"/>
    <tableColumn id="6" xr3:uid="{607AE3B3-8018-40CC-9DC4-3F343B530C38}" name="Adiantamento" dataDxfId="40"/>
    <tableColumn id="7" xr3:uid="{58132A48-F244-49BB-BB99-E4002C2A8658}" name="STATUS" dataDxfId="39">
      <calculatedColumnFormula>IF(OR(Tabela134[[#This Row],[Salário]]&lt;&gt;"",Tabela134[[#This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C635E-939A-45AE-BBB0-EF3CF4211FC4}" name="Tabela1345" displayName="Tabela1345" ref="A2:G15" totalsRowShown="0" headerRowDxfId="38" dataDxfId="37">
  <autoFilter ref="A2:G15" xr:uid="{C3F554F8-F5B8-4C37-9E0C-0F725A0F25E0}"/>
  <tableColumns count="7">
    <tableColumn id="1" xr3:uid="{6058CBF6-DE83-412C-9EAD-1E918C437AF5}" name="Data" dataDxfId="36"/>
    <tableColumn id="2" xr3:uid="{BA3F5274-AFF7-41BE-B92D-EF0DD4819EF7}" name="Valor" dataDxfId="35"/>
    <tableColumn id="3" xr3:uid="{FD3C4778-4730-49F2-9C97-81E9909F83F4}" name="Descrição" dataDxfId="34"/>
    <tableColumn id="4" xr3:uid="{DE1F2B07-798F-45AE-B268-35D2A4EF9099}" name="Parcelas" dataDxfId="33"/>
    <tableColumn id="5" xr3:uid="{87A78AF1-6E2E-4F4F-8F45-239977B4C0E0}" name="Salário" dataDxfId="32"/>
    <tableColumn id="6" xr3:uid="{B8EF6C11-F3E2-47D8-B3E2-43B065607FC4}" name="Adiantamento" dataDxfId="31"/>
    <tableColumn id="7" xr3:uid="{2E86314D-52BC-4FE3-8A2F-093579002C89}" name="STATUS" dataDxfId="30">
      <calculatedColumnFormula>IF(OR(Tabela1345[[#This Row],[Salário]]&lt;&gt;"",Tabela1345[[#This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58A5D9-6C31-4A01-B4FD-7E2F30DACFCB}" name="Tabela13456" displayName="Tabela13456" ref="A2:G11" totalsRowShown="0" headerRowDxfId="29" dataDxfId="28">
  <autoFilter ref="A2:G11" xr:uid="{C3F554F8-F5B8-4C37-9E0C-0F725A0F25E0}"/>
  <tableColumns count="7">
    <tableColumn id="1" xr3:uid="{2E5D6DA9-1E00-4216-9FFB-75D166B26476}" name="Data" dataDxfId="27"/>
    <tableColumn id="2" xr3:uid="{2B3296AE-158F-43F0-ACB6-E2A0AF432E46}" name="Valor" dataDxfId="26"/>
    <tableColumn id="3" xr3:uid="{8D41ECF6-7381-43AC-950D-FA11B5E793AA}" name="Descrição" dataDxfId="25"/>
    <tableColumn id="4" xr3:uid="{32E50534-6B96-4FC0-BB69-43CC309D8D38}" name="Parcelas" dataDxfId="24"/>
    <tableColumn id="5" xr3:uid="{39359D51-1B00-4FA8-8268-58A3304ED7C4}" name="Salário" dataDxfId="23"/>
    <tableColumn id="6" xr3:uid="{EA3DEEC6-7640-4B1F-9550-2E5F0BF058AC}" name="Adiantamento" dataDxfId="22"/>
    <tableColumn id="7" xr3:uid="{1AD72777-9B58-4DC4-91E9-55C8641FCB40}" name="STATUS" dataDxfId="21">
      <calculatedColumnFormula>IF(OR(Tabela13456[[#This Row],[Salário]]&lt;&gt;"",Tabela13456[[#This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D2D0D3-ED76-4079-BC37-8B6EE0FDFBA3}" name="Tabela134567" displayName="Tabela134567" ref="A2:G11" totalsRowShown="0" headerRowDxfId="20" dataDxfId="19">
  <autoFilter ref="A2:G11" xr:uid="{C3F554F8-F5B8-4C37-9E0C-0F725A0F25E0}"/>
  <tableColumns count="7">
    <tableColumn id="1" xr3:uid="{C1786749-FAD8-4D53-A688-BEE8B2831C9F}" name="Data" dataDxfId="18"/>
    <tableColumn id="2" xr3:uid="{F179C8C9-CD14-4F05-A18D-970046FEEBA7}" name="Valor" dataDxfId="17"/>
    <tableColumn id="3" xr3:uid="{86920D2A-94BF-4358-9418-20028671FEBA}" name="Descrição" dataDxfId="16"/>
    <tableColumn id="4" xr3:uid="{D7AF0302-E18A-4ABD-84CC-22192F57533A}" name="Parcelas" dataDxfId="15"/>
    <tableColumn id="5" xr3:uid="{17BE02E3-B49F-4A17-B991-3EC952E8F007}" name="Salário" dataDxfId="14"/>
    <tableColumn id="6" xr3:uid="{2AF92EA9-8F12-40D2-BF14-D0CD46CDF5BF}" name="Adiantamento" dataDxfId="13"/>
    <tableColumn id="7" xr3:uid="{4C98E414-2DDC-4DEA-A2BA-27F709FB3CAD}" name="STATUS" dataDxfId="12">
      <calculatedColumnFormula>IF(OR(Tabela134567[[#This Row],[Salário]]&lt;&gt;"",Tabela134567[[#This Row],[Adiantamento]]&lt;&gt;""),"Q","P")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2B14-0133-4BD9-9297-13FD89EBB6F2}">
  <dimension ref="A2:O27"/>
  <sheetViews>
    <sheetView workbookViewId="0">
      <selection activeCell="A9" sqref="A9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21" customWidth="1"/>
    <col min="8" max="8" width="14.5703125" bestFit="1" customWidth="1"/>
    <col min="9" max="9" width="13.5703125" bestFit="1" customWidth="1"/>
    <col min="10" max="10" width="22.85546875" bestFit="1" customWidth="1"/>
    <col min="11" max="11" width="10.5703125" bestFit="1" customWidth="1"/>
    <col min="15" max="15" width="10.5703125" bestFit="1" customWidth="1"/>
  </cols>
  <sheetData>
    <row r="2" spans="1:15" x14ac:dyDescent="0.25">
      <c r="A2" t="s">
        <v>8</v>
      </c>
      <c r="B2" t="s">
        <v>9</v>
      </c>
      <c r="C2" t="s">
        <v>10</v>
      </c>
      <c r="D2" t="s">
        <v>6</v>
      </c>
      <c r="E2" t="s">
        <v>12</v>
      </c>
    </row>
    <row r="3" spans="1:15" x14ac:dyDescent="0.25">
      <c r="A3" s="7">
        <v>45962</v>
      </c>
      <c r="B3" s="8">
        <v>800</v>
      </c>
      <c r="C3" s="9" t="s">
        <v>0</v>
      </c>
      <c r="D3" s="9" t="s">
        <v>13</v>
      </c>
      <c r="E3" s="9"/>
      <c r="I3" t="s">
        <v>6</v>
      </c>
      <c r="J3" t="s">
        <v>19</v>
      </c>
      <c r="K3" t="s">
        <v>11</v>
      </c>
    </row>
    <row r="4" spans="1:15" x14ac:dyDescent="0.25">
      <c r="A4" s="7">
        <v>45962</v>
      </c>
      <c r="B4" s="8">
        <v>220</v>
      </c>
      <c r="C4" s="9" t="s">
        <v>1</v>
      </c>
      <c r="D4" s="9" t="s">
        <v>13</v>
      </c>
      <c r="E4" s="9"/>
      <c r="I4" s="4">
        <v>2242.5500000000002</v>
      </c>
      <c r="J4" s="4">
        <f>SUMIFS(Tabela1[Valor],Tabela1[Salário],"S")</f>
        <v>2068.41</v>
      </c>
      <c r="K4" s="4">
        <f>I4-J4</f>
        <v>174.14000000000033</v>
      </c>
      <c r="L4" s="4"/>
    </row>
    <row r="5" spans="1:15" x14ac:dyDescent="0.25">
      <c r="A5" s="7">
        <v>45962</v>
      </c>
      <c r="B5" s="8">
        <v>400</v>
      </c>
      <c r="C5" s="9" t="s">
        <v>2</v>
      </c>
      <c r="D5" s="9" t="s">
        <v>13</v>
      </c>
      <c r="E5" s="9"/>
      <c r="I5" t="s">
        <v>12</v>
      </c>
      <c r="J5" t="s">
        <v>20</v>
      </c>
    </row>
    <row r="6" spans="1:15" x14ac:dyDescent="0.25">
      <c r="A6" s="10">
        <v>45971</v>
      </c>
      <c r="B6" s="11">
        <v>102</v>
      </c>
      <c r="C6" s="12" t="s">
        <v>3</v>
      </c>
      <c r="D6" s="12"/>
      <c r="E6" s="12" t="s">
        <v>15</v>
      </c>
      <c r="I6" s="5">
        <v>1600</v>
      </c>
      <c r="J6" s="4">
        <f>SUMIFS(Tabela1[Valor],Tabela1[Adiantamento],"A")</f>
        <v>1492</v>
      </c>
      <c r="K6" s="4">
        <f>I6-J6</f>
        <v>108</v>
      </c>
    </row>
    <row r="7" spans="1:15" x14ac:dyDescent="0.25">
      <c r="A7" s="10">
        <v>45976</v>
      </c>
      <c r="B7" s="11">
        <v>135</v>
      </c>
      <c r="C7" s="12" t="s">
        <v>4</v>
      </c>
      <c r="D7" s="12"/>
      <c r="E7" s="12" t="s">
        <v>15</v>
      </c>
    </row>
    <row r="8" spans="1:15" x14ac:dyDescent="0.25">
      <c r="A8" s="1">
        <v>45971</v>
      </c>
      <c r="B8" s="3">
        <v>84.83</v>
      </c>
      <c r="C8" s="2" t="s">
        <v>5</v>
      </c>
      <c r="D8" s="2" t="s">
        <v>13</v>
      </c>
      <c r="E8" s="2"/>
      <c r="H8" t="s">
        <v>21</v>
      </c>
      <c r="I8" s="4">
        <f>I4+I6</f>
        <v>3842.55</v>
      </c>
    </row>
    <row r="9" spans="1:15" x14ac:dyDescent="0.25">
      <c r="A9" s="7">
        <v>45962</v>
      </c>
      <c r="B9" s="8">
        <v>155.66999999999999</v>
      </c>
      <c r="C9" s="9" t="s">
        <v>7</v>
      </c>
      <c r="D9" s="9" t="s">
        <v>13</v>
      </c>
      <c r="E9" s="9"/>
      <c r="H9" t="s">
        <v>14</v>
      </c>
      <c r="I9" s="4">
        <f>SUM(Tabela1[Valor])</f>
        <v>3560.41</v>
      </c>
    </row>
    <row r="10" spans="1:15" x14ac:dyDescent="0.25">
      <c r="A10" s="10">
        <v>45976</v>
      </c>
      <c r="B10" s="11">
        <v>1200</v>
      </c>
      <c r="C10" s="12" t="s">
        <v>16</v>
      </c>
      <c r="D10" s="12"/>
      <c r="E10" s="12" t="s">
        <v>15</v>
      </c>
      <c r="I10" s="4">
        <f>I8-I9</f>
        <v>282.14000000000033</v>
      </c>
      <c r="J10" s="4"/>
    </row>
    <row r="11" spans="1:15" x14ac:dyDescent="0.25">
      <c r="A11" s="10">
        <v>45976</v>
      </c>
      <c r="B11" s="11">
        <v>55</v>
      </c>
      <c r="C11" s="12" t="s">
        <v>17</v>
      </c>
      <c r="D11" s="12"/>
      <c r="E11" s="12" t="s">
        <v>15</v>
      </c>
      <c r="J11" s="4"/>
    </row>
    <row r="12" spans="1:15" x14ac:dyDescent="0.25">
      <c r="A12" s="10">
        <v>45976</v>
      </c>
      <c r="B12" s="11">
        <v>267.91000000000003</v>
      </c>
      <c r="C12" s="12" t="s">
        <v>18</v>
      </c>
      <c r="D12" s="12" t="s">
        <v>13</v>
      </c>
      <c r="E12" s="12"/>
      <c r="J12" s="4"/>
    </row>
    <row r="13" spans="1:15" x14ac:dyDescent="0.25">
      <c r="A13" s="10">
        <v>45976</v>
      </c>
      <c r="B13" s="11">
        <v>140</v>
      </c>
      <c r="C13" s="12" t="s">
        <v>29</v>
      </c>
      <c r="D13" s="12" t="s">
        <v>13</v>
      </c>
      <c r="E13" s="12"/>
    </row>
    <row r="16" spans="1:15" x14ac:dyDescent="0.25">
      <c r="O16" s="4">
        <f>-O15+B12</f>
        <v>267.91000000000003</v>
      </c>
    </row>
    <row r="21" spans="8:10" x14ac:dyDescent="0.25">
      <c r="H21" t="s">
        <v>18</v>
      </c>
    </row>
    <row r="22" spans="8:10" x14ac:dyDescent="0.25">
      <c r="H22" t="s">
        <v>22</v>
      </c>
      <c r="I22">
        <v>54.26</v>
      </c>
      <c r="J22" s="6" t="s">
        <v>26</v>
      </c>
    </row>
    <row r="23" spans="8:10" x14ac:dyDescent="0.25">
      <c r="H23" t="s">
        <v>23</v>
      </c>
      <c r="I23">
        <v>93.99</v>
      </c>
      <c r="J23" s="6" t="s">
        <v>27</v>
      </c>
    </row>
    <row r="24" spans="8:10" x14ac:dyDescent="0.25">
      <c r="H24" t="s">
        <v>24</v>
      </c>
      <c r="I24">
        <v>62.66</v>
      </c>
      <c r="J24" s="6" t="s">
        <v>28</v>
      </c>
    </row>
    <row r="25" spans="8:10" x14ac:dyDescent="0.25">
      <c r="H25" t="s">
        <v>25</v>
      </c>
      <c r="I25">
        <f>114/2</f>
        <v>57</v>
      </c>
      <c r="J25" s="6" t="s">
        <v>26</v>
      </c>
    </row>
    <row r="26" spans="8:10" x14ac:dyDescent="0.25">
      <c r="J26" s="6"/>
    </row>
    <row r="27" spans="8:10" x14ac:dyDescent="0.25">
      <c r="I27">
        <f>SUM(I22:I26)</f>
        <v>267.90999999999997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2DA5-706B-4065-A94D-07DF43C9B66B}">
  <dimension ref="A2:S26"/>
  <sheetViews>
    <sheetView workbookViewId="0">
      <selection activeCell="F24" sqref="F24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4" width="21" customWidth="1"/>
    <col min="9" max="9" width="14.5703125" bestFit="1" customWidth="1"/>
    <col min="10" max="10" width="13.5703125" bestFit="1" customWidth="1"/>
    <col min="11" max="11" width="22.85546875" bestFit="1" customWidth="1"/>
    <col min="12" max="12" width="12.140625" bestFit="1" customWidth="1"/>
    <col min="16" max="16" width="10.5703125" bestFit="1" customWidth="1"/>
  </cols>
  <sheetData>
    <row r="2" spans="1:16" x14ac:dyDescent="0.25">
      <c r="A2" t="s">
        <v>8</v>
      </c>
      <c r="B2" t="s">
        <v>9</v>
      </c>
      <c r="C2" t="s">
        <v>10</v>
      </c>
      <c r="D2" t="s">
        <v>32</v>
      </c>
      <c r="E2" t="s">
        <v>6</v>
      </c>
      <c r="F2" t="s">
        <v>12</v>
      </c>
    </row>
    <row r="3" spans="1:16" x14ac:dyDescent="0.25">
      <c r="A3" s="1">
        <v>45992</v>
      </c>
      <c r="B3" s="3">
        <v>800</v>
      </c>
      <c r="C3" s="2" t="s">
        <v>0</v>
      </c>
      <c r="D3" s="14"/>
      <c r="E3" s="2" t="s">
        <v>13</v>
      </c>
      <c r="F3" s="2"/>
      <c r="J3" t="s">
        <v>6</v>
      </c>
      <c r="K3" t="s">
        <v>19</v>
      </c>
      <c r="L3" t="s">
        <v>11</v>
      </c>
    </row>
    <row r="4" spans="1:16" x14ac:dyDescent="0.25">
      <c r="A4" s="1">
        <v>45992</v>
      </c>
      <c r="B4" s="3">
        <v>220</v>
      </c>
      <c r="C4" s="2" t="s">
        <v>1</v>
      </c>
      <c r="D4" s="14"/>
      <c r="E4" s="2" t="s">
        <v>13</v>
      </c>
      <c r="F4" s="2"/>
      <c r="J4" s="4">
        <v>2242.5500000000002</v>
      </c>
      <c r="K4" s="4">
        <f>SUMIFS(Tabela13[Valor],Tabela13[Salário],"S")</f>
        <v>2034.5</v>
      </c>
      <c r="L4" s="4">
        <f>J4-K4</f>
        <v>208.05000000000018</v>
      </c>
      <c r="M4" s="4"/>
    </row>
    <row r="5" spans="1:16" x14ac:dyDescent="0.25">
      <c r="A5" s="1">
        <v>45992</v>
      </c>
      <c r="B5" s="3">
        <v>400</v>
      </c>
      <c r="C5" s="2" t="s">
        <v>2</v>
      </c>
      <c r="D5" s="14"/>
      <c r="E5" s="2" t="s">
        <v>13</v>
      </c>
      <c r="F5" s="2"/>
      <c r="J5" t="s">
        <v>12</v>
      </c>
      <c r="K5" t="s">
        <v>20</v>
      </c>
    </row>
    <row r="6" spans="1:16" x14ac:dyDescent="0.25">
      <c r="A6" s="1">
        <v>46001</v>
      </c>
      <c r="B6" s="3">
        <v>99</v>
      </c>
      <c r="C6" s="2" t="s">
        <v>3</v>
      </c>
      <c r="D6" s="14"/>
      <c r="E6" s="2" t="s">
        <v>13</v>
      </c>
      <c r="F6" s="2"/>
      <c r="J6" s="5">
        <v>1600</v>
      </c>
      <c r="K6" s="4">
        <f>SUMIFS(Tabela13[Valor],Tabela13[Adiantamento],"A")</f>
        <v>1588.4099999999999</v>
      </c>
      <c r="L6" s="4">
        <f>J6-K6</f>
        <v>11.590000000000146</v>
      </c>
    </row>
    <row r="7" spans="1:16" x14ac:dyDescent="0.25">
      <c r="A7" s="1">
        <v>46006</v>
      </c>
      <c r="B7" s="3">
        <v>135</v>
      </c>
      <c r="C7" s="2" t="s">
        <v>4</v>
      </c>
      <c r="D7" s="14"/>
      <c r="E7" s="2" t="s">
        <v>13</v>
      </c>
      <c r="F7" s="2"/>
    </row>
    <row r="8" spans="1:16" x14ac:dyDescent="0.25">
      <c r="A8" s="1">
        <v>46001</v>
      </c>
      <c r="B8" s="3">
        <v>84.83</v>
      </c>
      <c r="C8" s="2" t="s">
        <v>5</v>
      </c>
      <c r="D8" s="14"/>
      <c r="E8" s="2" t="s">
        <v>13</v>
      </c>
      <c r="F8" s="2"/>
      <c r="I8" t="s">
        <v>21</v>
      </c>
      <c r="J8" s="4">
        <f>J4+J6</f>
        <v>3842.55</v>
      </c>
    </row>
    <row r="9" spans="1:16" x14ac:dyDescent="0.25">
      <c r="A9" s="1">
        <v>45993</v>
      </c>
      <c r="B9" s="3">
        <v>155.66999999999999</v>
      </c>
      <c r="C9" s="2" t="s">
        <v>31</v>
      </c>
      <c r="D9" s="14">
        <v>1215</v>
      </c>
      <c r="E9" s="2" t="s">
        <v>13</v>
      </c>
      <c r="F9" s="2"/>
      <c r="I9" t="s">
        <v>14</v>
      </c>
      <c r="J9" s="4">
        <f>SUM(Tabela13[Valor])</f>
        <v>3622.91</v>
      </c>
    </row>
    <row r="10" spans="1:16" x14ac:dyDescent="0.25">
      <c r="A10" s="1">
        <v>46009</v>
      </c>
      <c r="B10" s="3">
        <v>152.81</v>
      </c>
      <c r="C10" s="2" t="s">
        <v>31</v>
      </c>
      <c r="D10" s="14">
        <v>306</v>
      </c>
      <c r="E10" s="2"/>
      <c r="F10" s="2" t="s">
        <v>15</v>
      </c>
      <c r="J10" s="4">
        <f>J8-J9</f>
        <v>219.64000000000033</v>
      </c>
      <c r="K10" s="4"/>
    </row>
    <row r="11" spans="1:16" x14ac:dyDescent="0.25">
      <c r="A11" s="1">
        <v>46019</v>
      </c>
      <c r="B11" s="3">
        <v>1200</v>
      </c>
      <c r="C11" s="2" t="s">
        <v>16</v>
      </c>
      <c r="D11" s="14"/>
      <c r="E11" s="2"/>
      <c r="F11" s="2" t="s">
        <v>15</v>
      </c>
      <c r="K11" s="4"/>
    </row>
    <row r="12" spans="1:16" x14ac:dyDescent="0.25">
      <c r="A12" s="1">
        <v>46011</v>
      </c>
      <c r="B12" s="3">
        <v>40</v>
      </c>
      <c r="C12" s="2" t="s">
        <v>17</v>
      </c>
      <c r="D12" s="14"/>
      <c r="E12" s="2"/>
      <c r="F12" s="2" t="s">
        <v>15</v>
      </c>
      <c r="K12" s="4"/>
    </row>
    <row r="13" spans="1:16" x14ac:dyDescent="0.25">
      <c r="A13" s="1">
        <v>46011</v>
      </c>
      <c r="B13" s="3">
        <v>195.6</v>
      </c>
      <c r="C13" s="2" t="s">
        <v>18</v>
      </c>
      <c r="D13" s="14"/>
      <c r="E13" s="2"/>
      <c r="F13" s="2" t="s">
        <v>15</v>
      </c>
    </row>
    <row r="14" spans="1:16" x14ac:dyDescent="0.25">
      <c r="A14" s="1">
        <v>46006</v>
      </c>
      <c r="B14" s="3">
        <v>140</v>
      </c>
      <c r="C14" s="2" t="s">
        <v>29</v>
      </c>
      <c r="D14" s="14"/>
      <c r="E14" s="2" t="s">
        <v>13</v>
      </c>
      <c r="F14" s="2"/>
    </row>
    <row r="16" spans="1:16" x14ac:dyDescent="0.25">
      <c r="P16" s="4"/>
    </row>
    <row r="21" spans="9:19" ht="21" x14ac:dyDescent="0.35">
      <c r="I21" s="41" t="s">
        <v>18</v>
      </c>
      <c r="J21" s="41"/>
      <c r="K21" s="41"/>
      <c r="L21" s="41"/>
    </row>
    <row r="22" spans="9:19" x14ac:dyDescent="0.25">
      <c r="I22" t="s">
        <v>22</v>
      </c>
      <c r="J22" s="13">
        <v>54.26</v>
      </c>
      <c r="K22" s="14">
        <v>303</v>
      </c>
      <c r="O22" s="6"/>
      <c r="S22" s="6"/>
    </row>
    <row r="23" spans="9:19" x14ac:dyDescent="0.25">
      <c r="I23" t="s">
        <v>24</v>
      </c>
      <c r="J23" s="13">
        <v>62.66</v>
      </c>
      <c r="K23" s="14">
        <v>306</v>
      </c>
      <c r="O23" s="6"/>
      <c r="S23" s="6"/>
    </row>
    <row r="24" spans="9:19" x14ac:dyDescent="0.25">
      <c r="I24" t="s">
        <v>25</v>
      </c>
      <c r="J24" s="13">
        <f>114/2</f>
        <v>57</v>
      </c>
      <c r="K24" s="14">
        <v>303</v>
      </c>
      <c r="M24" s="14"/>
      <c r="O24" s="6"/>
      <c r="S24" s="6"/>
    </row>
    <row r="25" spans="9:19" x14ac:dyDescent="0.25">
      <c r="I25" t="s">
        <v>30</v>
      </c>
      <c r="J25" s="13">
        <f>L25/MID(K25,2,3)</f>
        <v>21.666666666666668</v>
      </c>
      <c r="K25" s="14">
        <v>106</v>
      </c>
      <c r="L25">
        <v>130</v>
      </c>
      <c r="O25" s="6"/>
      <c r="S25" s="6"/>
    </row>
    <row r="26" spans="9:19" x14ac:dyDescent="0.25">
      <c r="J26" s="13">
        <f>SUM(J22:J25)</f>
        <v>195.58666666666664</v>
      </c>
      <c r="K26" s="14"/>
    </row>
  </sheetData>
  <mergeCells count="1">
    <mergeCell ref="I21:L2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F513-C400-4CFC-B250-E33242F8C0E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B2EF-B9F9-40E6-9C07-A0C3B79B4EBC}">
  <dimension ref="A2:W25"/>
  <sheetViews>
    <sheetView workbookViewId="0">
      <selection activeCell="A13" sqref="A13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4" width="21" customWidth="1"/>
    <col min="6" max="6" width="16" bestFit="1" customWidth="1"/>
    <col min="9" max="10" width="12.5703125" customWidth="1"/>
    <col min="13" max="13" width="14.5703125" bestFit="1" customWidth="1"/>
    <col min="14" max="14" width="13.5703125" bestFit="1" customWidth="1"/>
    <col min="15" max="15" width="22.85546875" bestFit="1" customWidth="1"/>
    <col min="16" max="16" width="12.140625" bestFit="1" customWidth="1"/>
    <col min="20" max="20" width="10.5703125" bestFit="1" customWidth="1"/>
  </cols>
  <sheetData>
    <row r="2" spans="1:20" x14ac:dyDescent="0.25">
      <c r="A2" t="s">
        <v>8</v>
      </c>
      <c r="B2" t="s">
        <v>9</v>
      </c>
      <c r="C2" t="s">
        <v>10</v>
      </c>
      <c r="D2" t="s">
        <v>32</v>
      </c>
      <c r="E2" t="s">
        <v>6</v>
      </c>
      <c r="F2" t="s">
        <v>12</v>
      </c>
      <c r="G2" t="s">
        <v>34</v>
      </c>
      <c r="I2" t="s">
        <v>35</v>
      </c>
      <c r="J2" t="s">
        <v>33</v>
      </c>
    </row>
    <row r="3" spans="1:20" x14ac:dyDescent="0.25">
      <c r="A3" s="1">
        <v>46055</v>
      </c>
      <c r="B3" s="3">
        <v>800</v>
      </c>
      <c r="C3" s="2" t="s">
        <v>0</v>
      </c>
      <c r="D3" s="14"/>
      <c r="E3" s="2" t="s">
        <v>13</v>
      </c>
      <c r="F3" s="2"/>
      <c r="G3" s="2" t="str">
        <f>IF(OR(Tabela134[[#This Row],[Salário]]&lt;&gt;"",Tabela134[[#This Row],[Adiantamento]]&lt;&gt;""),"Q","P")</f>
        <v>Q</v>
      </c>
      <c r="H3" s="2"/>
      <c r="I3">
        <f>SUMIFS(Tabela134[Valor],Tabela134[STATUS],"Q")</f>
        <v>3003.12</v>
      </c>
      <c r="J3">
        <f>SUMIFS(Tabela134[Valor],Tabela134[STATUS],"P")</f>
        <v>401.43</v>
      </c>
      <c r="N3" t="s">
        <v>6</v>
      </c>
      <c r="O3" t="s">
        <v>19</v>
      </c>
      <c r="P3" t="s">
        <v>11</v>
      </c>
    </row>
    <row r="4" spans="1:20" x14ac:dyDescent="0.25">
      <c r="A4" s="1">
        <v>46068</v>
      </c>
      <c r="B4" s="3">
        <v>220</v>
      </c>
      <c r="C4" s="2" t="s">
        <v>1</v>
      </c>
      <c r="D4" s="14"/>
      <c r="E4" s="2"/>
      <c r="F4" s="2"/>
      <c r="G4" s="2" t="str">
        <f>IF(OR(Tabela134[[#This Row],[Salário]]&lt;&gt;"",Tabela134[[#This Row],[Adiantamento]]&lt;&gt;""),"Q","P")</f>
        <v>P</v>
      </c>
      <c r="H4" s="2"/>
      <c r="N4" s="4">
        <v>2242.5500000000002</v>
      </c>
      <c r="O4" s="4">
        <f>SUMIFS(Tabela134[Valor],Tabela134[Salário],"S")</f>
        <v>1718.2900000000002</v>
      </c>
      <c r="P4" s="4">
        <f>N4-O4</f>
        <v>524.26</v>
      </c>
      <c r="Q4" s="4"/>
    </row>
    <row r="5" spans="1:20" x14ac:dyDescent="0.25">
      <c r="A5" s="1">
        <v>46054</v>
      </c>
      <c r="B5" s="3">
        <v>541.32000000000005</v>
      </c>
      <c r="C5" s="2" t="s">
        <v>2</v>
      </c>
      <c r="D5" s="14"/>
      <c r="E5" s="2" t="s">
        <v>13</v>
      </c>
      <c r="F5" s="2"/>
      <c r="G5" s="2" t="str">
        <f>IF(OR(Tabela134[[#This Row],[Salário]]&lt;&gt;"",Tabela134[[#This Row],[Adiantamento]]&lt;&gt;""),"Q","P")</f>
        <v>Q</v>
      </c>
      <c r="H5" s="2"/>
      <c r="N5" t="s">
        <v>12</v>
      </c>
      <c r="O5" t="s">
        <v>20</v>
      </c>
    </row>
    <row r="6" spans="1:20" x14ac:dyDescent="0.25">
      <c r="A6" s="1">
        <v>46063</v>
      </c>
      <c r="B6" s="3">
        <v>101.97</v>
      </c>
      <c r="C6" s="2" t="s">
        <v>3</v>
      </c>
      <c r="D6" s="14"/>
      <c r="E6" s="2" t="s">
        <v>13</v>
      </c>
      <c r="F6" s="2"/>
      <c r="G6" s="2" t="str">
        <f>IF(OR(Tabela134[[#This Row],[Salário]]&lt;&gt;"",Tabela134[[#This Row],[Adiantamento]]&lt;&gt;""),"Q","P")</f>
        <v>Q</v>
      </c>
      <c r="H6" s="2"/>
      <c r="N6" s="5">
        <v>1600</v>
      </c>
      <c r="O6" s="4">
        <f>SUMIFS(Tabela134[Valor],Tabela134[Adiantamento],"A")</f>
        <v>1284.83</v>
      </c>
      <c r="P6" s="4">
        <f>N6-O6</f>
        <v>315.17000000000007</v>
      </c>
    </row>
    <row r="7" spans="1:20" x14ac:dyDescent="0.25">
      <c r="A7" s="1">
        <v>46068</v>
      </c>
      <c r="B7" s="3">
        <v>135</v>
      </c>
      <c r="C7" s="2" t="s">
        <v>4</v>
      </c>
      <c r="D7" s="14"/>
      <c r="E7" s="2" t="s">
        <v>13</v>
      </c>
      <c r="F7" s="2"/>
      <c r="G7" s="2" t="str">
        <f>IF(OR(Tabela134[[#This Row],[Salário]]&lt;&gt;"",Tabela134[[#This Row],[Adiantamento]]&lt;&gt;""),"Q","P")</f>
        <v>Q</v>
      </c>
      <c r="H7" s="2"/>
    </row>
    <row r="8" spans="1:20" x14ac:dyDescent="0.25">
      <c r="A8" s="1">
        <v>46063</v>
      </c>
      <c r="B8" s="3">
        <v>84.83</v>
      </c>
      <c r="C8" s="2" t="s">
        <v>5</v>
      </c>
      <c r="D8" s="14"/>
      <c r="E8" s="2"/>
      <c r="F8" s="2" t="s">
        <v>15</v>
      </c>
      <c r="G8" s="2" t="str">
        <f>IF(OR(Tabela134[[#This Row],[Salário]]&lt;&gt;"",Tabela134[[#This Row],[Adiantamento]]&lt;&gt;""),"Q","P")</f>
        <v>Q</v>
      </c>
      <c r="H8" s="2"/>
      <c r="M8" t="s">
        <v>21</v>
      </c>
      <c r="N8" s="4">
        <f>N4+N6</f>
        <v>3842.55</v>
      </c>
    </row>
    <row r="9" spans="1:20" x14ac:dyDescent="0.25">
      <c r="A9" s="1">
        <v>46071</v>
      </c>
      <c r="B9" s="3">
        <v>57.13</v>
      </c>
      <c r="C9" s="2" t="s">
        <v>31</v>
      </c>
      <c r="D9" s="14">
        <v>212</v>
      </c>
      <c r="E9" s="2"/>
      <c r="F9" s="2"/>
      <c r="G9" s="2" t="str">
        <f>IF(OR(Tabela134[[#This Row],[Salário]]&lt;&gt;"",Tabela134[[#This Row],[Adiantamento]]&lt;&gt;""),"Q","P")</f>
        <v>P</v>
      </c>
      <c r="H9" s="2"/>
      <c r="M9" t="s">
        <v>14</v>
      </c>
      <c r="N9" s="4">
        <f>SUM(Tabela134[Valor])</f>
        <v>3404.55</v>
      </c>
    </row>
    <row r="10" spans="1:20" x14ac:dyDescent="0.25">
      <c r="A10" s="1">
        <v>46081</v>
      </c>
      <c r="B10" s="3">
        <v>1200</v>
      </c>
      <c r="C10" s="2" t="s">
        <v>16</v>
      </c>
      <c r="D10" s="14"/>
      <c r="E10" s="2"/>
      <c r="F10" s="2" t="s">
        <v>15</v>
      </c>
      <c r="G10" s="2" t="str">
        <f>IF(OR(Tabela134[[#This Row],[Salário]]&lt;&gt;"",Tabela134[[#This Row],[Adiantamento]]&lt;&gt;""),"Q","P")</f>
        <v>Q</v>
      </c>
      <c r="H10" s="2"/>
      <c r="N10" s="4">
        <f>N8-N9</f>
        <v>438</v>
      </c>
      <c r="O10" s="4"/>
    </row>
    <row r="11" spans="1:20" x14ac:dyDescent="0.25">
      <c r="A11" s="1">
        <v>46073</v>
      </c>
      <c r="B11" s="3">
        <v>40</v>
      </c>
      <c r="C11" s="2" t="s">
        <v>17</v>
      </c>
      <c r="D11" s="14"/>
      <c r="E11" s="2"/>
      <c r="F11" s="2"/>
      <c r="G11" s="2" t="str">
        <f>IF(OR(Tabela134[[#This Row],[Salário]]&lt;&gt;"",Tabela134[[#This Row],[Adiantamento]]&lt;&gt;""),"Q","P")</f>
        <v>P</v>
      </c>
      <c r="H11" s="2"/>
      <c r="O11" s="4"/>
    </row>
    <row r="12" spans="1:20" x14ac:dyDescent="0.25">
      <c r="A12" s="1">
        <v>46073</v>
      </c>
      <c r="B12" s="3">
        <v>84.3</v>
      </c>
      <c r="C12" s="2" t="s">
        <v>18</v>
      </c>
      <c r="D12" s="14"/>
      <c r="E12" s="2"/>
      <c r="F12" s="2"/>
      <c r="G12" s="2" t="str">
        <f>IF(OR(Tabela134[[#This Row],[Salário]]&lt;&gt;"",Tabela134[[#This Row],[Adiantamento]]&lt;&gt;""),"Q","P")</f>
        <v>P</v>
      </c>
      <c r="H12" s="2"/>
      <c r="O12" s="4"/>
    </row>
    <row r="13" spans="1:20" x14ac:dyDescent="0.25">
      <c r="A13" s="1">
        <v>46068</v>
      </c>
      <c r="B13" s="3">
        <v>140</v>
      </c>
      <c r="C13" s="2" t="s">
        <v>29</v>
      </c>
      <c r="D13" s="14"/>
      <c r="E13" s="2" t="s">
        <v>13</v>
      </c>
      <c r="F13" s="2"/>
      <c r="G13" s="2" t="str">
        <f>IF(OR(Tabela134[[#This Row],[Salário]]&lt;&gt;"",Tabela134[[#This Row],[Adiantamento]]&lt;&gt;""),"Q","P")</f>
        <v>Q</v>
      </c>
      <c r="H13" s="2"/>
    </row>
    <row r="16" spans="1:20" x14ac:dyDescent="0.25">
      <c r="T16" s="4"/>
    </row>
    <row r="21" spans="13:23" ht="21" x14ac:dyDescent="0.35">
      <c r="M21" s="41" t="s">
        <v>18</v>
      </c>
      <c r="N21" s="41"/>
      <c r="O21" s="41"/>
      <c r="P21" s="41"/>
    </row>
    <row r="22" spans="13:23" x14ac:dyDescent="0.25">
      <c r="N22" s="13"/>
      <c r="O22" s="14"/>
      <c r="S22" s="6"/>
      <c r="W22" s="6"/>
    </row>
    <row r="23" spans="13:23" x14ac:dyDescent="0.25">
      <c r="M23" t="s">
        <v>24</v>
      </c>
      <c r="N23" s="13">
        <v>62.66</v>
      </c>
      <c r="O23" s="14">
        <v>406</v>
      </c>
      <c r="S23" s="6"/>
      <c r="W23" s="6"/>
    </row>
    <row r="24" spans="13:23" x14ac:dyDescent="0.25">
      <c r="M24" t="s">
        <v>30</v>
      </c>
      <c r="N24" s="13">
        <f>P24/MID(O24,2,3)</f>
        <v>21.666666666666668</v>
      </c>
      <c r="O24" s="14">
        <v>206</v>
      </c>
      <c r="P24">
        <v>130</v>
      </c>
      <c r="S24" s="6"/>
      <c r="W24" s="6"/>
    </row>
    <row r="25" spans="13:23" x14ac:dyDescent="0.25">
      <c r="N25" s="13">
        <f>SUM(N22:N24)</f>
        <v>84.326666666666668</v>
      </c>
      <c r="O25" s="14"/>
    </row>
  </sheetData>
  <mergeCells count="1">
    <mergeCell ref="M21:P2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2B5B-3806-47BF-A581-96C8A9BE49F5}">
  <dimension ref="A2:W25"/>
  <sheetViews>
    <sheetView showGridLines="0" workbookViewId="0">
      <selection activeCell="E9" sqref="E9"/>
    </sheetView>
  </sheetViews>
  <sheetFormatPr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46083</v>
      </c>
      <c r="B3" s="16">
        <v>463.57</v>
      </c>
      <c r="C3" s="17" t="s">
        <v>0</v>
      </c>
      <c r="D3" s="18"/>
      <c r="E3" s="17" t="s">
        <v>13</v>
      </c>
      <c r="F3" s="17"/>
      <c r="G3" s="17" t="str">
        <f>IF(OR(Tabela1345[[#This Row],[Salário]]&lt;&gt;"",Tabela1345[[#This Row],[Adiantamento]]&lt;&gt;""),"Q","P")</f>
        <v>Q</v>
      </c>
      <c r="H3" s="17"/>
      <c r="I3" s="22">
        <f>SUMIFS(Tabela1345[Valor],Tabela1345[STATUS],"Q")</f>
        <v>2090.17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46083</v>
      </c>
      <c r="B4" s="16">
        <v>219.84</v>
      </c>
      <c r="C4" s="17" t="s">
        <v>1</v>
      </c>
      <c r="D4" s="18"/>
      <c r="E4" s="17" t="s">
        <v>13</v>
      </c>
      <c r="F4" s="17"/>
      <c r="G4" s="17" t="str">
        <f>IF(OR(Tabela1345[[#This Row],[Salário]]&lt;&gt;"",Tabela1345[[#This Row],[Adiantamento]]&lt;&gt;""),"Q","P")</f>
        <v>Q</v>
      </c>
      <c r="H4" s="17"/>
      <c r="N4" s="26">
        <v>2000</v>
      </c>
      <c r="O4" s="27">
        <f>SUMIFS(Tabela1345[Valor],Tabela1345[Salário],"S")</f>
        <v>2033.0399999999997</v>
      </c>
      <c r="P4" s="28">
        <f>N4-O4</f>
        <v>-33.039999999999736</v>
      </c>
      <c r="Q4" s="29"/>
    </row>
    <row r="5" spans="1:20" ht="21" customHeight="1" thickBot="1" x14ac:dyDescent="0.3">
      <c r="A5" s="15">
        <v>46083</v>
      </c>
      <c r="B5" s="16">
        <v>649.91</v>
      </c>
      <c r="C5" s="17" t="s">
        <v>2</v>
      </c>
      <c r="D5" s="18"/>
      <c r="E5" s="17" t="s">
        <v>13</v>
      </c>
      <c r="F5" s="17"/>
      <c r="G5" s="17" t="str">
        <f>IF(OR(Tabela1345[[#This Row],[Salário]]&lt;&gt;"",Tabela1345[[#This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46091</v>
      </c>
      <c r="B6" s="16">
        <v>101.97</v>
      </c>
      <c r="C6" s="17" t="s">
        <v>3</v>
      </c>
      <c r="D6" s="18"/>
      <c r="E6" s="17" t="s">
        <v>13</v>
      </c>
      <c r="F6" s="17"/>
      <c r="G6" s="17" t="str">
        <f>IF(OR(Tabela1345[[#This Row],[Salário]]&lt;&gt;"",Tabela1345[[#This Row],[Adiantamento]]&lt;&gt;""),"Q","P")</f>
        <v>Q</v>
      </c>
      <c r="H6" s="17"/>
      <c r="I6" s="31">
        <f>SUMIFS(Tabela1345[Valor],Tabela1345[STATUS],"P")</f>
        <v>1375.2466666666664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46096</v>
      </c>
      <c r="B7" s="16">
        <v>129.80000000000001</v>
      </c>
      <c r="C7" s="17" t="s">
        <v>4</v>
      </c>
      <c r="D7" s="18"/>
      <c r="E7" s="17" t="s">
        <v>13</v>
      </c>
      <c r="F7" s="17"/>
      <c r="G7" s="17" t="str">
        <f>IF(OR(Tabela1345[[#This Row],[Salário]]&lt;&gt;"",Tabela1345[[#This Row],[Adiantamento]]&lt;&gt;""),"Q","P")</f>
        <v>Q</v>
      </c>
      <c r="H7" s="17"/>
      <c r="N7" s="26">
        <v>1777</v>
      </c>
      <c r="O7" s="27">
        <f>SUMIFS(Tabela1345[Valor],Tabela1345[Adiantamento],"A")</f>
        <v>57.13</v>
      </c>
      <c r="P7" s="28">
        <f>N7-O7</f>
        <v>1719.87</v>
      </c>
    </row>
    <row r="8" spans="1:20" ht="21" customHeight="1" x14ac:dyDescent="0.25">
      <c r="A8" s="15">
        <v>46091</v>
      </c>
      <c r="B8" s="16">
        <v>84.83</v>
      </c>
      <c r="C8" s="17" t="s">
        <v>5</v>
      </c>
      <c r="D8" s="18"/>
      <c r="E8" s="17" t="s">
        <v>13</v>
      </c>
      <c r="F8" s="17"/>
      <c r="G8" s="17" t="str">
        <f>IF(OR(Tabela1345[[#This Row],[Salário]]&lt;&gt;"",Tabela1345[[#This Row],[Adiantamento]]&lt;&gt;""),"Q","P")</f>
        <v>Q</v>
      </c>
      <c r="H8" s="17"/>
    </row>
    <row r="9" spans="1:20" ht="21" customHeight="1" x14ac:dyDescent="0.25">
      <c r="A9" s="15">
        <v>46097</v>
      </c>
      <c r="B9" s="16">
        <v>57.13</v>
      </c>
      <c r="C9" s="17" t="s">
        <v>31</v>
      </c>
      <c r="D9" s="18">
        <v>312</v>
      </c>
      <c r="E9" s="17"/>
      <c r="F9" s="17" t="s">
        <v>15</v>
      </c>
      <c r="G9" s="17" t="str">
        <f>IF(OR(Tabela1345[[#This Row],[Salário]]&lt;&gt;"",Tabela1345[[#This Row],[Adiantamento]]&lt;&gt;""),"Q","P")</f>
        <v>Q</v>
      </c>
      <c r="H9" s="17"/>
      <c r="O9" s="29"/>
    </row>
    <row r="10" spans="1:20" ht="21" customHeight="1" thickBot="1" x14ac:dyDescent="0.3">
      <c r="A10" s="15">
        <v>46109</v>
      </c>
      <c r="B10" s="16">
        <v>1200</v>
      </c>
      <c r="C10" s="17" t="s">
        <v>16</v>
      </c>
      <c r="D10" s="18"/>
      <c r="E10" s="17"/>
      <c r="F10" s="17"/>
      <c r="G10" s="17" t="str">
        <f>IF(OR(Tabela1345[[#This Row],[Salário]]&lt;&gt;"",Tabela1345[[#This Row],[Adiantamento]]&lt;&gt;""),"Q","P")</f>
        <v>P</v>
      </c>
      <c r="H10" s="17"/>
      <c r="N10" s="21" t="s">
        <v>21</v>
      </c>
      <c r="O10" s="32">
        <f>N4+N7</f>
        <v>3777</v>
      </c>
    </row>
    <row r="11" spans="1:20" ht="21" customHeight="1" thickBot="1" x14ac:dyDescent="0.3">
      <c r="A11" s="15">
        <v>46091</v>
      </c>
      <c r="B11" s="16">
        <v>43.12</v>
      </c>
      <c r="C11" s="17" t="s">
        <v>17</v>
      </c>
      <c r="D11" s="18"/>
      <c r="E11" s="17"/>
      <c r="F11" s="17"/>
      <c r="G11" s="17" t="str">
        <f>IF(OR(Tabela1345[[#This Row],[Salário]]&lt;&gt;"",Tabela1345[[#This Row],[Adiantamento]]&lt;&gt;""),"Q","P")</f>
        <v>P</v>
      </c>
      <c r="H11" s="17"/>
      <c r="N11" s="33" t="s">
        <v>14</v>
      </c>
      <c r="O11" s="34">
        <f>SUM(Tabela1345[Valor])</f>
        <v>3465.4166666666665</v>
      </c>
    </row>
    <row r="12" spans="1:20" ht="21" customHeight="1" thickBot="1" x14ac:dyDescent="0.3">
      <c r="A12" s="15">
        <v>46091</v>
      </c>
      <c r="B12" s="16">
        <f>N25</f>
        <v>132.12666666666667</v>
      </c>
      <c r="C12" s="17" t="s">
        <v>18</v>
      </c>
      <c r="D12" s="18"/>
      <c r="E12" s="17"/>
      <c r="F12" s="17"/>
      <c r="G12" s="17" t="str">
        <f>IF(OR(Tabela1345[[#This Row],[Salário]]&lt;&gt;"",Tabela1345[[#This Row],[Adiantamento]]&lt;&gt;""),"Q","P")</f>
        <v>P</v>
      </c>
      <c r="H12" s="17"/>
      <c r="N12" s="33" t="s">
        <v>11</v>
      </c>
      <c r="O12" s="35">
        <f>O10-O11</f>
        <v>311.58333333333348</v>
      </c>
    </row>
    <row r="13" spans="1:20" ht="21" customHeight="1" x14ac:dyDescent="0.25">
      <c r="A13" s="15">
        <v>46096</v>
      </c>
      <c r="B13" s="16">
        <v>140</v>
      </c>
      <c r="C13" s="17" t="s">
        <v>29</v>
      </c>
      <c r="D13" s="18"/>
      <c r="E13" s="17" t="s">
        <v>13</v>
      </c>
      <c r="F13" s="17"/>
      <c r="G13" s="17" t="str">
        <f>IF(OR(Tabela1345[[#This Row],[Salário]]&lt;&gt;"",Tabela1345[[#This Row],[Adiantamento]]&lt;&gt;""),"Q","P")</f>
        <v>Q</v>
      </c>
      <c r="H13" s="17"/>
    </row>
    <row r="14" spans="1:20" ht="21" customHeight="1" x14ac:dyDescent="0.25">
      <c r="A14" s="15">
        <v>46083</v>
      </c>
      <c r="B14" s="16">
        <v>43.12</v>
      </c>
      <c r="C14" s="17" t="s">
        <v>37</v>
      </c>
      <c r="D14" s="19"/>
      <c r="E14" s="17" t="s">
        <v>13</v>
      </c>
      <c r="F14" s="17"/>
      <c r="G14" s="17" t="str">
        <f>IF(OR(Tabela1345[[#This Row],[Salário]]&lt;&gt;"",Tabela1345[[#This Row],[Adiantamento]]&lt;&gt;""),"Q","P")</f>
        <v>Q</v>
      </c>
    </row>
    <row r="15" spans="1:20" ht="21" customHeight="1" x14ac:dyDescent="0.25">
      <c r="A15" s="15">
        <v>46083</v>
      </c>
      <c r="B15" s="16">
        <v>200</v>
      </c>
      <c r="C15" s="17" t="s">
        <v>38</v>
      </c>
      <c r="D15" s="19"/>
      <c r="E15" s="17" t="s">
        <v>13</v>
      </c>
      <c r="F15" s="17"/>
      <c r="G15" s="17" t="str">
        <f>IF(OR(Tabela1345[[#This Row],[Salário]]&lt;&gt;"",Tabela1345[[#This Row],[Adiantamento]]&lt;&gt;""),"Q","P")</f>
        <v>Q</v>
      </c>
    </row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42" t="s">
        <v>18</v>
      </c>
      <c r="N21" s="42"/>
      <c r="O21" s="42"/>
      <c r="P21" s="42"/>
    </row>
    <row r="22" spans="13:23" ht="21" x14ac:dyDescent="0.35">
      <c r="M22" s="20" t="s">
        <v>24</v>
      </c>
      <c r="N22" s="37">
        <v>62.66</v>
      </c>
      <c r="O22" s="18">
        <v>506</v>
      </c>
      <c r="P22" s="36"/>
      <c r="S22" s="38"/>
      <c r="W22" s="38"/>
    </row>
    <row r="23" spans="13:23" x14ac:dyDescent="0.25">
      <c r="M23" s="20" t="s">
        <v>30</v>
      </c>
      <c r="N23" s="37">
        <f>P23/MID(O23,2,3)</f>
        <v>21.666666666666668</v>
      </c>
      <c r="O23" s="18">
        <v>306</v>
      </c>
      <c r="P23" s="20">
        <v>130</v>
      </c>
      <c r="S23" s="38"/>
      <c r="W23" s="38"/>
    </row>
    <row r="24" spans="13:23" ht="15.75" thickBot="1" x14ac:dyDescent="0.3">
      <c r="M24" s="20" t="s">
        <v>36</v>
      </c>
      <c r="N24" s="37">
        <f>239/5</f>
        <v>47.8</v>
      </c>
      <c r="O24" s="18">
        <v>105</v>
      </c>
      <c r="S24" s="38"/>
      <c r="W24" s="38"/>
    </row>
    <row r="25" spans="13:23" ht="21" x14ac:dyDescent="0.35">
      <c r="M25" s="39"/>
      <c r="N25" s="40">
        <f>SUM(N22:N24)</f>
        <v>132.12666666666667</v>
      </c>
      <c r="O25" s="39"/>
      <c r="P25" s="39"/>
    </row>
  </sheetData>
  <mergeCells count="1">
    <mergeCell ref="M21:P21"/>
  </mergeCells>
  <conditionalFormatting sqref="P4">
    <cfRule type="expression" dxfId="11" priority="3">
      <formula>$P$4&gt;=0</formula>
    </cfRule>
    <cfRule type="expression" dxfId="10" priority="4">
      <formula>$P$4&lt;0</formula>
    </cfRule>
  </conditionalFormatting>
  <conditionalFormatting sqref="P7">
    <cfRule type="expression" dxfId="9" priority="1">
      <formula>P7&gt;=0</formula>
    </cfRule>
    <cfRule type="expression" dxfId="8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A7A5-903C-4F81-92B2-43CF4BD53621}">
  <dimension ref="A2:W25"/>
  <sheetViews>
    <sheetView showGridLines="0" workbookViewId="0">
      <selection activeCell="O7" sqref="O7"/>
    </sheetView>
  </sheetViews>
  <sheetFormatPr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46113</v>
      </c>
      <c r="B3" s="16">
        <v>483.32</v>
      </c>
      <c r="C3" s="17" t="s">
        <v>2</v>
      </c>
      <c r="D3" s="18"/>
      <c r="E3" s="17" t="s">
        <v>13</v>
      </c>
      <c r="F3" s="17"/>
      <c r="G3" s="17" t="str">
        <f>IF(OR(Tabela13456[[#This Row],[Salário]]&lt;&gt;"",Tabela13456[[#This Row],[Adiantamento]]&lt;&gt;""),"Q","P")</f>
        <v>Q</v>
      </c>
      <c r="H3" s="17"/>
      <c r="I3" s="22">
        <f>SUMIFS(Tabela13456[Valor],Tabela13456[STATUS],"Q")</f>
        <v>1172.2966666666666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46091</v>
      </c>
      <c r="B4" s="16">
        <v>101.97</v>
      </c>
      <c r="C4" s="17" t="s">
        <v>3</v>
      </c>
      <c r="D4" s="18"/>
      <c r="E4" s="17" t="s">
        <v>13</v>
      </c>
      <c r="F4" s="17"/>
      <c r="G4" s="17" t="str">
        <f>IF(OR(Tabela13456[[#This Row],[Salário]]&lt;&gt;"",Tabela13456[[#This Row],[Adiantamento]]&lt;&gt;""),"Q","P")</f>
        <v>Q</v>
      </c>
      <c r="H4" s="17"/>
      <c r="N4" s="26">
        <v>2210.88</v>
      </c>
      <c r="O4" s="27">
        <f>SUMIFS(Tabela13456[Valor],Tabela13456[Salário],"S")</f>
        <v>799.92</v>
      </c>
      <c r="P4" s="28">
        <f>N4-O4</f>
        <v>1410.96</v>
      </c>
      <c r="Q4" s="29"/>
    </row>
    <row r="5" spans="1:20" ht="21" customHeight="1" thickBot="1" x14ac:dyDescent="0.3">
      <c r="A5" s="15">
        <v>46096</v>
      </c>
      <c r="B5" s="16">
        <v>129.80000000000001</v>
      </c>
      <c r="C5" s="17" t="s">
        <v>4</v>
      </c>
      <c r="D5" s="18"/>
      <c r="E5" s="17" t="s">
        <v>13</v>
      </c>
      <c r="F5" s="17"/>
      <c r="G5" s="17" t="str">
        <f>IF(OR(Tabela13456[[#This Row],[Salário]]&lt;&gt;"",Tabela13456[[#This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46091</v>
      </c>
      <c r="B6" s="16">
        <v>84.83</v>
      </c>
      <c r="C6" s="17" t="s">
        <v>5</v>
      </c>
      <c r="D6" s="18"/>
      <c r="E6" s="17" t="s">
        <v>13</v>
      </c>
      <c r="F6" s="17"/>
      <c r="G6" s="17" t="str">
        <f>IF(OR(Tabela13456[[#This Row],[Salário]]&lt;&gt;"",Tabela13456[[#This Row],[Adiantamento]]&lt;&gt;""),"Q","P")</f>
        <v>Q</v>
      </c>
      <c r="H6" s="17"/>
      <c r="I6" s="31">
        <f>SUMIFS(Tabela13456[Valor],Tabela13456[STATUS],"P")</f>
        <v>1200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46097</v>
      </c>
      <c r="B7" s="16">
        <v>57.13</v>
      </c>
      <c r="C7" s="17" t="s">
        <v>31</v>
      </c>
      <c r="D7" s="18">
        <v>412</v>
      </c>
      <c r="E7" s="17"/>
      <c r="F7" s="17" t="s">
        <v>15</v>
      </c>
      <c r="G7" s="17" t="str">
        <f>IF(OR(Tabela13456[[#This Row],[Salário]]&lt;&gt;"",Tabela13456[[#This Row],[Adiantamento]]&lt;&gt;""),"Q","P")</f>
        <v>Q</v>
      </c>
      <c r="H7" s="17"/>
      <c r="N7" s="26">
        <v>1777</v>
      </c>
      <c r="O7" s="27">
        <f>SUMIFS(Tabela13456[Valor],Tabela13456[Adiantamento],"A")</f>
        <v>372.37666666666667</v>
      </c>
      <c r="P7" s="28">
        <f>N7-O7</f>
        <v>1404.6233333333334</v>
      </c>
    </row>
    <row r="8" spans="1:20" ht="21" customHeight="1" x14ac:dyDescent="0.25">
      <c r="A8" s="15">
        <v>46109</v>
      </c>
      <c r="B8" s="16">
        <v>1200</v>
      </c>
      <c r="C8" s="17" t="s">
        <v>16</v>
      </c>
      <c r="D8" s="18"/>
      <c r="E8" s="17"/>
      <c r="F8" s="17"/>
      <c r="G8" s="17" t="str">
        <f>IF(OR(Tabela13456[[#This Row],[Salário]]&lt;&gt;"",Tabela13456[[#This Row],[Adiantamento]]&lt;&gt;""),"Q","P")</f>
        <v>P</v>
      </c>
      <c r="H8" s="17"/>
    </row>
    <row r="9" spans="1:20" ht="21" customHeight="1" x14ac:dyDescent="0.25">
      <c r="A9" s="15">
        <v>46101</v>
      </c>
      <c r="B9" s="16">
        <v>43.12</v>
      </c>
      <c r="C9" s="17" t="s">
        <v>17</v>
      </c>
      <c r="D9" s="18"/>
      <c r="E9" s="17"/>
      <c r="F9" s="17" t="s">
        <v>15</v>
      </c>
      <c r="G9" s="17" t="str">
        <f>IF(OR(Tabela13456[[#This Row],[Salário]]&lt;&gt;"",Tabela13456[[#This Row],[Adiantamento]]&lt;&gt;""),"Q","P")</f>
        <v>Q</v>
      </c>
      <c r="H9" s="17"/>
      <c r="O9" s="29"/>
    </row>
    <row r="10" spans="1:20" ht="21" customHeight="1" thickBot="1" x14ac:dyDescent="0.3">
      <c r="A10" s="15">
        <v>46101</v>
      </c>
      <c r="B10" s="16">
        <f>N25</f>
        <v>132.12666666666667</v>
      </c>
      <c r="C10" s="17" t="s">
        <v>18</v>
      </c>
      <c r="D10" s="18"/>
      <c r="E10" s="17"/>
      <c r="F10" s="17" t="s">
        <v>15</v>
      </c>
      <c r="G10" s="17" t="str">
        <f>IF(OR(Tabela13456[[#This Row],[Salário]]&lt;&gt;"",Tabela13456[[#This Row],[Adiantamento]]&lt;&gt;""),"Q","P")</f>
        <v>Q</v>
      </c>
      <c r="H10" s="17"/>
      <c r="N10" s="21" t="s">
        <v>21</v>
      </c>
      <c r="O10" s="32">
        <f>N4+N7</f>
        <v>3987.88</v>
      </c>
    </row>
    <row r="11" spans="1:20" ht="21" customHeight="1" thickBot="1" x14ac:dyDescent="0.3">
      <c r="A11" s="15">
        <v>46096</v>
      </c>
      <c r="B11" s="16">
        <v>140</v>
      </c>
      <c r="C11" s="17" t="s">
        <v>29</v>
      </c>
      <c r="D11" s="18"/>
      <c r="E11" s="17"/>
      <c r="F11" s="17" t="s">
        <v>15</v>
      </c>
      <c r="G11" s="17" t="str">
        <f>IF(OR(Tabela13456[[#This Row],[Salário]]&lt;&gt;"",Tabela13456[[#This Row],[Adiantamento]]&lt;&gt;""),"Q","P")</f>
        <v>Q</v>
      </c>
      <c r="H11" s="17"/>
      <c r="N11" s="33" t="s">
        <v>14</v>
      </c>
      <c r="O11" s="34">
        <f>SUM(Tabela13456[Valor])</f>
        <v>2372.2966666666666</v>
      </c>
    </row>
    <row r="12" spans="1:20" ht="21" customHeight="1" thickBot="1" x14ac:dyDescent="0.3">
      <c r="H12" s="17"/>
      <c r="N12" s="33" t="s">
        <v>11</v>
      </c>
      <c r="O12" s="35">
        <f>O10-O11</f>
        <v>1615.5833333333335</v>
      </c>
    </row>
    <row r="13" spans="1:20" ht="21" customHeight="1" x14ac:dyDescent="0.25">
      <c r="H13" s="17"/>
    </row>
    <row r="14" spans="1:20" ht="21" customHeight="1" x14ac:dyDescent="0.25"/>
    <row r="15" spans="1:20" ht="21" customHeight="1" x14ac:dyDescent="0.25"/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42" t="s">
        <v>18</v>
      </c>
      <c r="N21" s="42"/>
      <c r="O21" s="42"/>
      <c r="P21" s="42"/>
    </row>
    <row r="22" spans="13:23" ht="21" x14ac:dyDescent="0.35">
      <c r="M22" s="20" t="s">
        <v>24</v>
      </c>
      <c r="N22" s="37">
        <v>62.66</v>
      </c>
      <c r="O22" s="18">
        <v>506</v>
      </c>
      <c r="P22" s="36"/>
      <c r="S22" s="38"/>
      <c r="W22" s="38"/>
    </row>
    <row r="23" spans="13:23" x14ac:dyDescent="0.25">
      <c r="M23" s="20" t="s">
        <v>30</v>
      </c>
      <c r="N23" s="37">
        <f>P23/MID(O23,2,3)</f>
        <v>21.666666666666668</v>
      </c>
      <c r="O23" s="18">
        <v>306</v>
      </c>
      <c r="P23" s="20">
        <v>130</v>
      </c>
      <c r="S23" s="38"/>
      <c r="W23" s="38"/>
    </row>
    <row r="24" spans="13:23" ht="15.75" thickBot="1" x14ac:dyDescent="0.3">
      <c r="M24" s="20" t="s">
        <v>36</v>
      </c>
      <c r="N24" s="37">
        <f>239/5</f>
        <v>47.8</v>
      </c>
      <c r="O24" s="18">
        <v>105</v>
      </c>
      <c r="S24" s="38"/>
      <c r="W24" s="38"/>
    </row>
    <row r="25" spans="13:23" ht="21" x14ac:dyDescent="0.35">
      <c r="M25" s="39"/>
      <c r="N25" s="40">
        <f>SUM(N22:N24)</f>
        <v>132.12666666666667</v>
      </c>
      <c r="O25" s="39"/>
      <c r="P25" s="39"/>
    </row>
  </sheetData>
  <mergeCells count="1">
    <mergeCell ref="M21:P21"/>
  </mergeCells>
  <conditionalFormatting sqref="P4">
    <cfRule type="expression" dxfId="7" priority="3">
      <formula>$P$4&gt;=0</formula>
    </cfRule>
    <cfRule type="expression" dxfId="6" priority="4">
      <formula>$P$4&lt;0</formula>
    </cfRule>
  </conditionalFormatting>
  <conditionalFormatting sqref="P7">
    <cfRule type="expression" dxfId="5" priority="1">
      <formula>P7&gt;=0</formula>
    </cfRule>
    <cfRule type="expression" dxfId="4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1E13-99F0-4EFB-8CEC-311AFC67F127}">
  <dimension ref="A2:W25"/>
  <sheetViews>
    <sheetView showGridLines="0" tabSelected="1" workbookViewId="0">
      <selection activeCell="E7" sqref="E7"/>
    </sheetView>
  </sheetViews>
  <sheetFormatPr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46113</v>
      </c>
      <c r="B3" s="16">
        <v>1038.48</v>
      </c>
      <c r="C3" s="17" t="s">
        <v>2</v>
      </c>
      <c r="D3" s="18"/>
      <c r="E3" s="17" t="s">
        <v>13</v>
      </c>
      <c r="F3" s="17"/>
      <c r="G3" s="17" t="str">
        <f>IF(OR(Tabela134567[[#This Row],[Salário]]&lt;&gt;"",Tabela134567[[#This Row],[Adiantamento]]&lt;&gt;""),"Q","P")</f>
        <v>Q</v>
      </c>
      <c r="H3" s="17"/>
      <c r="I3" s="22">
        <f>SUMIFS(Tabela134567[Valor],Tabela134567[STATUS],"Q")</f>
        <v>1355.08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46091</v>
      </c>
      <c r="B4" s="16">
        <v>101.97</v>
      </c>
      <c r="C4" s="17" t="s">
        <v>3</v>
      </c>
      <c r="D4" s="18"/>
      <c r="E4" s="17" t="s">
        <v>13</v>
      </c>
      <c r="F4" s="17"/>
      <c r="G4" s="17" t="str">
        <f>IF(OR(Tabela134567[[#This Row],[Salário]]&lt;&gt;"",Tabela134567[[#This Row],[Adiantamento]]&lt;&gt;""),"Q","P")</f>
        <v>Q</v>
      </c>
      <c r="H4" s="17"/>
      <c r="N4" s="26">
        <v>2460.88</v>
      </c>
      <c r="O4" s="27">
        <f>SUMIFS(Tabela134567[Valor],Tabela134567[Salário],"S")</f>
        <v>1355.08</v>
      </c>
      <c r="P4" s="28">
        <f>N4-O4</f>
        <v>1105.8000000000002</v>
      </c>
      <c r="Q4" s="29"/>
    </row>
    <row r="5" spans="1:20" ht="21" customHeight="1" thickBot="1" x14ac:dyDescent="0.3">
      <c r="A5" s="15">
        <v>46096</v>
      </c>
      <c r="B5" s="16">
        <v>129.80000000000001</v>
      </c>
      <c r="C5" s="17" t="s">
        <v>4</v>
      </c>
      <c r="D5" s="18"/>
      <c r="E5" s="17" t="s">
        <v>13</v>
      </c>
      <c r="F5" s="17"/>
      <c r="G5" s="17" t="str">
        <f>IF(OR(Tabela134567[[#This Row],[Salário]]&lt;&gt;"",Tabela134567[[#This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46091</v>
      </c>
      <c r="B6" s="16">
        <v>84.83</v>
      </c>
      <c r="C6" s="17" t="s">
        <v>5</v>
      </c>
      <c r="D6" s="18"/>
      <c r="E6" s="17" t="s">
        <v>13</v>
      </c>
      <c r="F6" s="17"/>
      <c r="G6" s="17" t="str">
        <f>IF(OR(Tabela134567[[#This Row],[Salário]]&lt;&gt;"",Tabela134567[[#This Row],[Adiantamento]]&lt;&gt;""),"Q","P")</f>
        <v>Q</v>
      </c>
      <c r="H6" s="17"/>
      <c r="I6" s="31">
        <f>SUMIFS(Tabela134567[Valor],Tabela134567[STATUS],"P")</f>
        <v>1572.3766666666666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46097</v>
      </c>
      <c r="B7" s="16">
        <v>57.13</v>
      </c>
      <c r="C7" s="17" t="s">
        <v>31</v>
      </c>
      <c r="D7" s="18">
        <v>512</v>
      </c>
      <c r="E7" s="17"/>
      <c r="F7" s="17"/>
      <c r="G7" s="17" t="str">
        <f>IF(OR(Tabela134567[[#This Row],[Salário]]&lt;&gt;"",Tabela134567[[#This Row],[Adiantamento]]&lt;&gt;""),"Q","P")</f>
        <v>P</v>
      </c>
      <c r="H7" s="17"/>
      <c r="N7" s="26">
        <v>1777</v>
      </c>
      <c r="O7" s="27">
        <f>SUMIFS(Tabela134567[Valor],Tabela134567[Adiantamento],"A")</f>
        <v>0</v>
      </c>
      <c r="P7" s="28">
        <f>N7-O7</f>
        <v>1777</v>
      </c>
    </row>
    <row r="8" spans="1:20" ht="21" customHeight="1" x14ac:dyDescent="0.25">
      <c r="A8" s="15">
        <v>46109</v>
      </c>
      <c r="B8" s="16">
        <v>1200</v>
      </c>
      <c r="C8" s="17" t="s">
        <v>16</v>
      </c>
      <c r="D8" s="18"/>
      <c r="E8" s="17"/>
      <c r="F8" s="17"/>
      <c r="G8" s="17" t="str">
        <f>IF(OR(Tabela134567[[#This Row],[Salário]]&lt;&gt;"",Tabela134567[[#This Row],[Adiantamento]]&lt;&gt;""),"Q","P")</f>
        <v>P</v>
      </c>
      <c r="H8" s="17"/>
    </row>
    <row r="9" spans="1:20" ht="21" customHeight="1" x14ac:dyDescent="0.25">
      <c r="A9" s="15">
        <v>46101</v>
      </c>
      <c r="B9" s="16">
        <v>43.12</v>
      </c>
      <c r="C9" s="17" t="s">
        <v>17</v>
      </c>
      <c r="D9" s="18"/>
      <c r="E9" s="17"/>
      <c r="F9" s="17"/>
      <c r="G9" s="17" t="str">
        <f>IF(OR(Tabela134567[[#This Row],[Salário]]&lt;&gt;"",Tabela134567[[#This Row],[Adiantamento]]&lt;&gt;""),"Q","P")</f>
        <v>P</v>
      </c>
      <c r="H9" s="17"/>
      <c r="O9" s="29"/>
    </row>
    <row r="10" spans="1:20" ht="21" customHeight="1" thickBot="1" x14ac:dyDescent="0.3">
      <c r="A10" s="15">
        <v>46101</v>
      </c>
      <c r="B10" s="16">
        <f>N25</f>
        <v>132.12666666666667</v>
      </c>
      <c r="C10" s="17" t="s">
        <v>18</v>
      </c>
      <c r="D10" s="18"/>
      <c r="E10" s="17"/>
      <c r="F10" s="17"/>
      <c r="G10" s="17" t="str">
        <f>IF(OR(Tabela134567[[#This Row],[Salário]]&lt;&gt;"",Tabela134567[[#This Row],[Adiantamento]]&lt;&gt;""),"Q","P")</f>
        <v>P</v>
      </c>
      <c r="H10" s="17"/>
      <c r="N10" s="21" t="s">
        <v>21</v>
      </c>
      <c r="O10" s="32">
        <f>N4+N7</f>
        <v>4237.88</v>
      </c>
    </row>
    <row r="11" spans="1:20" ht="21" customHeight="1" thickBot="1" x14ac:dyDescent="0.3">
      <c r="A11" s="15">
        <v>46096</v>
      </c>
      <c r="B11" s="16">
        <v>140</v>
      </c>
      <c r="C11" s="17" t="s">
        <v>29</v>
      </c>
      <c r="D11" s="18"/>
      <c r="E11" s="17"/>
      <c r="F11" s="17"/>
      <c r="G11" s="17" t="str">
        <f>IF(OR(Tabela134567[[#This Row],[Salário]]&lt;&gt;"",Tabela134567[[#This Row],[Adiantamento]]&lt;&gt;""),"Q","P")</f>
        <v>P</v>
      </c>
      <c r="H11" s="17"/>
      <c r="N11" s="33" t="s">
        <v>14</v>
      </c>
      <c r="O11" s="34">
        <f>SUM(Tabela134567[Valor])</f>
        <v>2927.4566666666665</v>
      </c>
    </row>
    <row r="12" spans="1:20" ht="21" customHeight="1" thickBot="1" x14ac:dyDescent="0.3">
      <c r="H12" s="17"/>
      <c r="N12" s="33" t="s">
        <v>11</v>
      </c>
      <c r="O12" s="35">
        <f>O10-O11</f>
        <v>1310.4233333333336</v>
      </c>
    </row>
    <row r="13" spans="1:20" ht="21" customHeight="1" x14ac:dyDescent="0.25">
      <c r="H13" s="17"/>
    </row>
    <row r="14" spans="1:20" ht="21" customHeight="1" x14ac:dyDescent="0.25"/>
    <row r="15" spans="1:20" ht="21" customHeight="1" x14ac:dyDescent="0.25"/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42" t="s">
        <v>18</v>
      </c>
      <c r="N21" s="42"/>
      <c r="O21" s="42"/>
      <c r="P21" s="42"/>
    </row>
    <row r="22" spans="13:23" ht="21" x14ac:dyDescent="0.35">
      <c r="M22" s="20" t="s">
        <v>24</v>
      </c>
      <c r="N22" s="37">
        <v>62.66</v>
      </c>
      <c r="O22" s="18">
        <v>606</v>
      </c>
      <c r="P22" s="36"/>
      <c r="S22" s="38"/>
      <c r="W22" s="38"/>
    </row>
    <row r="23" spans="13:23" x14ac:dyDescent="0.25">
      <c r="M23" s="20" t="s">
        <v>30</v>
      </c>
      <c r="N23" s="37">
        <f>P23/MID(O23,2,3)</f>
        <v>21.666666666666668</v>
      </c>
      <c r="O23" s="18">
        <v>406</v>
      </c>
      <c r="P23" s="20">
        <v>130</v>
      </c>
      <c r="S23" s="38"/>
      <c r="W23" s="38"/>
    </row>
    <row r="24" spans="13:23" ht="15.75" thickBot="1" x14ac:dyDescent="0.3">
      <c r="M24" s="20" t="s">
        <v>36</v>
      </c>
      <c r="N24" s="37">
        <f>239/5</f>
        <v>47.8</v>
      </c>
      <c r="O24" s="18">
        <v>205</v>
      </c>
      <c r="S24" s="38"/>
      <c r="W24" s="38"/>
    </row>
    <row r="25" spans="13:23" ht="21" x14ac:dyDescent="0.35">
      <c r="M25" s="39"/>
      <c r="N25" s="40">
        <f>SUM(N22:N24)</f>
        <v>132.12666666666667</v>
      </c>
      <c r="O25" s="39"/>
      <c r="P25" s="39"/>
    </row>
  </sheetData>
  <mergeCells count="1">
    <mergeCell ref="M21:P21"/>
  </mergeCells>
  <conditionalFormatting sqref="P4">
    <cfRule type="expression" dxfId="3" priority="3">
      <formula>$P$4&gt;=0</formula>
    </cfRule>
    <cfRule type="expression" dxfId="2" priority="4">
      <formula>$P$4&lt;0</formula>
    </cfRule>
  </conditionalFormatting>
  <conditionalFormatting sqref="P7">
    <cfRule type="expression" dxfId="1" priority="1">
      <formula>P7&gt;=0</formula>
    </cfRule>
    <cfRule type="expression" dxfId="0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ed9df57-6107-465f-b416-456b5ec3294b}" enabled="1" method="Privileged" siteId="{651b43ce-ccb8-4301-b551-b04dd872d4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NOV</vt:lpstr>
      <vt:lpstr>DEZ</vt:lpstr>
      <vt:lpstr>Planilha1</vt:lpstr>
      <vt:lpstr>FEV2026</vt:lpstr>
      <vt:lpstr>MAR2026</vt:lpstr>
      <vt:lpstr>ABR2026</vt:lpstr>
      <vt:lpstr>MAI2026</vt:lpstr>
    </vt:vector>
  </TitlesOfParts>
  <Company>RHI Magnesita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Luis David Ferreira</dc:creator>
  <cp:lastModifiedBy>Robson Luis David Ferreira</cp:lastModifiedBy>
  <dcterms:created xsi:type="dcterms:W3CDTF">2025-11-03T16:30:55Z</dcterms:created>
  <dcterms:modified xsi:type="dcterms:W3CDTF">2026-05-08T21:06:21Z</dcterms:modified>
</cp:coreProperties>
</file>