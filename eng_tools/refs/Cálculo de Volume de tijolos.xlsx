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2330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H7" i="1"/>
  <c r="G7"/>
  <c r="K7" s="1"/>
  <c r="K3" l="1"/>
  <c r="K4"/>
  <c r="K5"/>
  <c r="K6"/>
  <c r="I3"/>
  <c r="I4"/>
  <c r="I2"/>
  <c r="K2" s="1"/>
  <c r="G5"/>
  <c r="H6"/>
  <c r="G6"/>
  <c r="H5"/>
  <c r="H4"/>
  <c r="G4"/>
  <c r="H3"/>
  <c r="G3"/>
  <c r="H2"/>
  <c r="G2"/>
</calcChain>
</file>

<file path=xl/sharedStrings.xml><?xml version="1.0" encoding="utf-8"?>
<sst xmlns="http://schemas.openxmlformats.org/spreadsheetml/2006/main" count="17" uniqueCount="9">
  <si>
    <t>/</t>
  </si>
  <si>
    <t>A</t>
  </si>
  <si>
    <t>B</t>
  </si>
  <si>
    <t>H</t>
  </si>
  <si>
    <t>L</t>
  </si>
  <si>
    <t>K</t>
  </si>
  <si>
    <t>Volume (dm³)</t>
  </si>
  <si>
    <t>P</t>
  </si>
  <si>
    <t>2/3</t>
  </si>
</sst>
</file>

<file path=xl/styles.xml><?xml version="1.0" encoding="utf-8"?>
<styleSheet xmlns="http://schemas.openxmlformats.org/spreadsheetml/2006/main">
  <numFmts count="1">
    <numFmt numFmtId="167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16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7"/>
  <sheetViews>
    <sheetView showGridLines="0" tabSelected="1" workbookViewId="0">
      <selection activeCell="H6" sqref="H6"/>
    </sheetView>
  </sheetViews>
  <sheetFormatPr defaultRowHeight="15"/>
  <cols>
    <col min="2" max="2" width="3" style="1" bestFit="1" customWidth="1"/>
    <col min="3" max="3" width="1.85546875" style="1" bestFit="1" customWidth="1"/>
    <col min="4" max="4" width="3" style="1" bestFit="1" customWidth="1"/>
    <col min="5" max="5" width="7.28515625" style="1" bestFit="1" customWidth="1"/>
    <col min="6" max="6" width="2.140625" style="1" bestFit="1" customWidth="1"/>
    <col min="7" max="7" width="9.140625" style="1"/>
    <col min="8" max="8" width="10.5703125" style="1" bestFit="1" customWidth="1"/>
    <col min="9" max="10" width="9.140625" style="1"/>
    <col min="11" max="11" width="13.5703125" style="1" bestFit="1" customWidth="1"/>
  </cols>
  <sheetData>
    <row r="1" spans="2:12">
      <c r="G1" s="1" t="s">
        <v>1</v>
      </c>
      <c r="H1" s="1" t="s">
        <v>2</v>
      </c>
      <c r="I1" s="1" t="s">
        <v>3</v>
      </c>
      <c r="J1" s="1" t="s">
        <v>4</v>
      </c>
      <c r="K1" s="1" t="s">
        <v>6</v>
      </c>
    </row>
    <row r="2" spans="2:12">
      <c r="B2" s="2">
        <v>8</v>
      </c>
      <c r="C2" s="3" t="s">
        <v>0</v>
      </c>
      <c r="D2" s="2">
        <v>20</v>
      </c>
      <c r="E2" s="2">
        <v>112.5</v>
      </c>
      <c r="F2" s="2" t="s">
        <v>5</v>
      </c>
      <c r="G2" s="4">
        <f>E2+(D2/2)</f>
        <v>122.5</v>
      </c>
      <c r="H2" s="2">
        <f>E2-(D2/2)</f>
        <v>102.5</v>
      </c>
      <c r="I2" s="2">
        <f>B2*25.4</f>
        <v>203.2</v>
      </c>
      <c r="J2" s="2">
        <v>100</v>
      </c>
      <c r="K2" s="5">
        <f>((((G2+H2)*I2)/2)*J2)/1000000</f>
        <v>2.286</v>
      </c>
      <c r="L2" s="1"/>
    </row>
    <row r="3" spans="2:12">
      <c r="B3" s="2">
        <v>9</v>
      </c>
      <c r="C3" s="3" t="s">
        <v>0</v>
      </c>
      <c r="D3" s="2">
        <v>30</v>
      </c>
      <c r="E3" s="2">
        <v>100</v>
      </c>
      <c r="F3" s="2" t="s">
        <v>5</v>
      </c>
      <c r="G3" s="4">
        <f t="shared" ref="G3:G7" si="0">E3+(D3/2)</f>
        <v>115</v>
      </c>
      <c r="H3" s="2">
        <f t="shared" ref="H3:H7" si="1">E3-(D3/2)</f>
        <v>85</v>
      </c>
      <c r="I3" s="2">
        <f t="shared" ref="I3:I6" si="2">B3*25.4</f>
        <v>228.6</v>
      </c>
      <c r="J3" s="2">
        <v>100</v>
      </c>
      <c r="K3" s="5">
        <f t="shared" ref="K3:K7" si="3">((((G3+H3)*I3)/2)*J3)/1000000</f>
        <v>2.286</v>
      </c>
    </row>
    <row r="4" spans="2:12">
      <c r="B4" s="2">
        <v>9</v>
      </c>
      <c r="C4" s="3" t="s">
        <v>0</v>
      </c>
      <c r="D4" s="2">
        <v>30</v>
      </c>
      <c r="E4" s="2">
        <v>112.5</v>
      </c>
      <c r="F4" s="2" t="s">
        <v>5</v>
      </c>
      <c r="G4" s="4">
        <f t="shared" si="0"/>
        <v>127.5</v>
      </c>
      <c r="H4" s="2">
        <f t="shared" si="1"/>
        <v>97.5</v>
      </c>
      <c r="I4" s="2">
        <f t="shared" si="2"/>
        <v>228.6</v>
      </c>
      <c r="J4" s="2">
        <v>100</v>
      </c>
      <c r="K4" s="5">
        <f t="shared" si="3"/>
        <v>2.5717500000000002</v>
      </c>
    </row>
    <row r="5" spans="2:12">
      <c r="B5" s="2">
        <v>30</v>
      </c>
      <c r="C5" s="3" t="s">
        <v>0</v>
      </c>
      <c r="D5" s="2">
        <v>40</v>
      </c>
      <c r="E5" s="2">
        <v>100</v>
      </c>
      <c r="F5" s="2" t="s">
        <v>5</v>
      </c>
      <c r="G5" s="4">
        <f>E5+(D5/2)</f>
        <v>120</v>
      </c>
      <c r="H5" s="2">
        <f t="shared" si="1"/>
        <v>80</v>
      </c>
      <c r="I5" s="2">
        <v>300</v>
      </c>
      <c r="J5" s="2">
        <v>100</v>
      </c>
      <c r="K5" s="5">
        <f t="shared" si="3"/>
        <v>3</v>
      </c>
    </row>
    <row r="6" spans="2:12">
      <c r="B6" s="2">
        <v>30</v>
      </c>
      <c r="C6" s="3" t="s">
        <v>0</v>
      </c>
      <c r="D6" s="2">
        <v>40</v>
      </c>
      <c r="E6" s="2">
        <v>112.5</v>
      </c>
      <c r="F6" s="2" t="s">
        <v>5</v>
      </c>
      <c r="G6" s="4">
        <f t="shared" si="0"/>
        <v>132.5</v>
      </c>
      <c r="H6" s="2">
        <f t="shared" si="1"/>
        <v>92.5</v>
      </c>
      <c r="I6" s="2">
        <v>300</v>
      </c>
      <c r="J6" s="2">
        <v>100</v>
      </c>
      <c r="K6" s="5">
        <f t="shared" si="3"/>
        <v>3.375</v>
      </c>
    </row>
    <row r="7" spans="2:12">
      <c r="B7" s="2">
        <v>4</v>
      </c>
      <c r="C7" s="3" t="s">
        <v>7</v>
      </c>
      <c r="D7" s="2">
        <v>22</v>
      </c>
      <c r="E7" s="2" t="s">
        <v>8</v>
      </c>
      <c r="F7" s="2"/>
      <c r="G7" s="4">
        <f>67+(D7/2)</f>
        <v>78</v>
      </c>
      <c r="H7" s="2">
        <f>67-(D7/2)</f>
        <v>56</v>
      </c>
      <c r="I7" s="2">
        <v>187</v>
      </c>
      <c r="J7" s="2">
        <v>250</v>
      </c>
      <c r="K7" s="5">
        <f>((((G7+H7)*I7)/2)*J7)/1000000</f>
        <v>3.13225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
&amp;K808080&amp;"Trebuchet MS"CLASSIFICAÇÃO DO DOCUMENTO: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
&amp;K808080&amp;"Trebuchet MS"CLASSIFICAÇÃO DO DOCUMENTO: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
&amp;K808080&amp;"Trebuchet MS"CLASSIFICAÇÃO DO DOCUMENTO: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mi001438</dc:creator>
  <cp:lastModifiedBy>mi001438</cp:lastModifiedBy>
  <dcterms:created xsi:type="dcterms:W3CDTF">2017-03-20T16:17:31Z</dcterms:created>
  <dcterms:modified xsi:type="dcterms:W3CDTF">2017-03-20T17:48:59Z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CCulture">
    <vt:lpwstr>pt-BR</vt:lpwstr>
  </property>
  <property fmtid="{D5CDD505-2E9C-101B-9397-08002B2CF9AE}" pid="3" name="Sensitivity">
    <vt:lpwstr>olPrivate</vt:lpwstr>
  </property>
  <property fmtid="{D5CDD505-2E9C-101B-9397-08002B2CF9AE}" pid="4" name="SensitivityDescription">
    <vt:lpwstr>CLASSIFICAÇÃO DO DOCUMENTO: INTERNO</vt:lpwstr>
  </property>
</Properties>
</file>